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  <sheet name="Расче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5.14" customWidth="1" min="1" max="1"/>
    <col width="26.43" customWidth="1" min="2" max="2"/>
    <col width="24.57" customWidth="1" min="5" max="5"/>
    <col width="24.14" customWidth="1" min="6" max="6"/>
    <col width="10.86" customWidth="1" min="7" max="7"/>
    <col width="19.57" customWidth="1" min="8" max="8"/>
    <col width="15.14" customWidth="1" min="9" max="9"/>
    <col width="30" customWidth="1" min="10" max="10"/>
    <col width="15.14" customWidth="1" min="11" max="11"/>
    <col width="33.86" customWidth="1" min="20" max="20"/>
  </cols>
  <sheetData>
    <row r="1" ht="53.25" customHeight="1">
      <c r="A1" s="1" t="inlineStr"/>
      <c r="B1" s="1" t="inlineStr">
        <is>
          <t>Название риска</t>
        </is>
      </c>
      <c r="C1" s="1" t="inlineStr">
        <is>
          <t>Описание риска</t>
        </is>
      </c>
      <c r="D1" s="1" t="inlineStr">
        <is>
          <t>Причина</t>
        </is>
      </c>
      <c r="E1" s="1" t="inlineStr">
        <is>
          <t>Условия реализации</t>
        </is>
      </c>
      <c r="F1" s="1" t="inlineStr">
        <is>
          <t>Последствия</t>
        </is>
      </c>
      <c r="G1" s="1" t="inlineStr">
        <is>
          <t>Вероятность</t>
        </is>
      </c>
      <c r="H1" s="1" t="inlineStr">
        <is>
          <t>Ущерб</t>
        </is>
      </c>
      <c r="I1" s="1" t="inlineStr">
        <is>
          <t>Критичность исходная</t>
        </is>
      </c>
      <c r="J1" s="1" t="inlineStr">
        <is>
          <t>Меры</t>
        </is>
      </c>
      <c r="K1" s="1" t="inlineStr">
        <is>
          <t>Вероятность целевая</t>
        </is>
      </c>
      <c r="L1" s="1" t="inlineStr">
        <is>
          <t>Целевое время устранения последствий</t>
        </is>
      </c>
      <c r="M1" s="1" t="inlineStr">
        <is>
          <t>Ущерб целевой</t>
        </is>
      </c>
      <c r="N1" s="1" t="inlineStr">
        <is>
          <t>Цена реализации мероприятий</t>
        </is>
      </c>
      <c r="O1" s="1" t="inlineStr">
        <is>
          <t>Ущерб итоговый целевой</t>
        </is>
      </c>
      <c r="P1" s="1" t="inlineStr">
        <is>
          <t>Критичность итоговая целевая</t>
        </is>
      </c>
      <c r="Q1" s="1" t="inlineStr">
        <is>
          <t>Кратность за период</t>
        </is>
      </c>
      <c r="R1" s="1" t="inlineStr">
        <is>
          <t>Итоговый ущерб исходный</t>
        </is>
      </c>
      <c r="S1" s="1" t="inlineStr">
        <is>
          <t>Итоговый ущерб целевой</t>
        </is>
      </c>
    </row>
    <row r="2">
      <c r="A2" s="2" t="n">
        <v>1</v>
      </c>
      <c r="B2" s="3" t="inlineStr">
        <is>
          <t>Отказ одного экземпляра веб-приложения</t>
        </is>
      </c>
      <c r="C2" s="3" t="inlineStr">
        <is>
          <t>Один из экземпляров портала перестает отвечать на запросы балансировщика.</t>
        </is>
      </c>
      <c r="D2" s="3" t="inlineStr">
        <is>
          <t>Утечка памяти и остановка по нехватке ОЗУ; аварийное завершение процесса; сбой ОС или гипервизора на узле; исчерпание файловых дескрипторов.</t>
        </is>
      </c>
      <c r="E2" s="3" t="inlineStr">
        <is>
          <t>Приложение запущено в единственном экземпляре либо балансировщик не исключает неработающий узел из ротации.</t>
        </is>
      </c>
      <c r="F2" s="3" t="inlineStr">
        <is>
          <t>Часть запросов завершается ошибкой, личный кабинет и прием платежей недоступны до ручного перезапуска.</t>
        </is>
      </c>
      <c r="G2" s="2" t="inlineStr">
        <is>
          <t>5  крайне высокая</t>
        </is>
      </c>
      <c r="H2" s="2" t="inlineStr">
        <is>
          <t>2  умеренный</t>
        </is>
      </c>
      <c r="I2" s="2" t="str">
        <f>Расчеты!D2&amp;"  "&amp;Расчеты!L2</f>
        <v>10  высокая</v>
      </c>
      <c r="J2" s="3" t="inlineStr">
        <is>
          <t>Два и более идентичных экземпляра за Nginx; проверка доступности узла; исключение неработающего узла после трех неудач; перевод трафика на живой узел за две секунды; автоматический перезапуск в оркестраторе.</t>
        </is>
      </c>
      <c r="K2" s="2" t="inlineStr">
        <is>
          <t>5  крайне высокая</t>
        </is>
      </c>
      <c r="L2" s="3" t="inlineStr">
        <is>
          <t>до 2 секунд на переключение трафика; потери данных нет</t>
        </is>
      </c>
      <c r="M2" s="3" t="inlineStr">
        <is>
          <t>1  незначительный</t>
        </is>
      </c>
      <c r="N2" s="3" t="inlineStr">
        <is>
          <t>140 тыс. руб./год</t>
        </is>
      </c>
      <c r="O2" s="3" t="inlineStr">
        <is>
          <t>145 тыс. руб./год</t>
        </is>
      </c>
      <c r="P2" s="2" t="str">
        <f>Расчеты!G2&amp;"  "&amp;Расчеты!M2</f>
        <v>5  умеренная</v>
      </c>
      <c r="Q2" s="4">
        <f>Расчеты!J2</f>
        <v>3</v>
      </c>
      <c r="R2" s="4">
        <f>Расчеты!H2*Расчеты!J2</f>
        <v>1500</v>
      </c>
      <c r="S2" s="4">
        <f>Расчеты!I2*Расчеты!J2+Расчеты!K2</f>
        <v>155</v>
      </c>
    </row>
    <row r="3">
      <c r="A3" s="2" t="n">
        <v>2</v>
      </c>
      <c r="B3" s="3" t="inlineStr">
        <is>
          <t>Потеря виртуальной машины с базой данных</t>
        </is>
      </c>
      <c r="C3" s="3" t="inlineStr">
        <is>
          <t>Утрачена машина, на которой хранятся абоненты, тарифы, платежи и обращения.</t>
        </is>
      </c>
      <c r="D3" s="3" t="inlineStr">
        <is>
          <t>Отказ системы хранения; повреждение файловой системы; удаление машины провайдером или по ошибке; выход из строя диска.</t>
        </is>
      </c>
      <c r="E3" s="3" t="inlineStr">
        <is>
          <t>База развернута в одном экземпляре на одной машине, резервные копии не создаются или не проверялись на восстановление.</t>
        </is>
      </c>
      <c r="F3" s="3" t="inlineStr">
        <is>
          <t>Полная остановка сервиса, безвозвратная потеря истории платежей, претензии абонентов и регулятора.</t>
        </is>
      </c>
      <c r="G3" s="2" t="inlineStr">
        <is>
          <t>1  крайне низкая</t>
        </is>
      </c>
      <c r="H3" s="2" t="inlineStr">
        <is>
          <t>5  катастрофический</t>
        </is>
      </c>
      <c r="I3" s="2" t="str">
        <f>Расчеты!D3&amp;"  "&amp;Расчеты!L3</f>
        <v>5  умеренная</v>
      </c>
      <c r="J3" s="3" t="inlineStr">
        <is>
          <t>Потоковая репликация на вторую машину с автоматическим переключением; ежесуточные резервные копии с хранением 30 дней на отдельном хранилище; ежемесячная проверка восстановления; данные на отдельном томе, а не внутри контейнера.</t>
        </is>
      </c>
      <c r="K3" s="2" t="inlineStr">
        <is>
          <t>1  крайне низкая</t>
        </is>
      </c>
      <c r="L3" s="3" t="inlineStr">
        <is>
          <t>до 1 часа на восстановление; потеря данных не более 5 минут</t>
        </is>
      </c>
      <c r="M3" s="3" t="inlineStr">
        <is>
          <t>2  умеренный</t>
        </is>
      </c>
      <c r="N3" s="3" t="inlineStr">
        <is>
          <t>200 тыс. руб./год</t>
        </is>
      </c>
      <c r="O3" s="3" t="inlineStr">
        <is>
          <t>500 тыс. руб./год</t>
        </is>
      </c>
      <c r="P3" s="2" t="str">
        <f>Расчеты!G3&amp;"  "&amp;Расчеты!M3</f>
        <v>2  низкая</v>
      </c>
      <c r="Q3" s="4">
        <f>Расчеты!J3</f>
        <v>0.1</v>
      </c>
      <c r="R3" s="4">
        <f>Расчеты!H3*Расчеты!J3</f>
        <v>800</v>
      </c>
      <c r="S3" s="4">
        <f>Расчеты!I3*Расчеты!J3+Расчеты!K3</f>
        <v>230</v>
      </c>
    </row>
    <row r="4">
      <c r="A4" s="2" t="n">
        <v>3</v>
      </c>
      <c r="B4" s="3" t="inlineStr">
        <is>
          <t>Отказ хранилища сессий и массовый разлогин</t>
        </is>
      </c>
      <c r="C4" s="3" t="inlineStr">
        <is>
          <t>Redis недоступен, все авторизованные пользователи одновременно теряют сессию.</t>
        </is>
      </c>
      <c r="D4" s="3" t="inlineStr">
        <is>
          <t>Исчерпание памяти; перезапуск узла; сетевой разрыв между приложением и хранилищем; повреждение файла дозаписи.</t>
        </is>
      </c>
      <c r="E4" s="3" t="inlineStr">
        <is>
          <t>Хранилище развернуто в одном экземпляре без реплики и без сохранения на диск.</t>
        </is>
      </c>
      <c r="F4" s="3" t="inlineStr">
        <is>
          <t>Массовый разлогин 1,2 млн пользователей, всплеск обращений в поддержку, личный кабинет недоступен.</t>
        </is>
      </c>
      <c r="G4" s="2" t="inlineStr">
        <is>
          <t>4  высокая</t>
        </is>
      </c>
      <c r="H4" s="2" t="inlineStr">
        <is>
          <t>2  умеренный</t>
        </is>
      </c>
      <c r="I4" s="2" t="str">
        <f>Расчеты!D4&amp;"  "&amp;Расчеты!L4</f>
        <v>8  умеренная</v>
      </c>
      <c r="J4" s="3" t="inlineStr">
        <is>
          <t>Включена дозапись на диск; реплика и автоматическое переключение через Sentinel; приложение продолжает отдавать публичные страницы при недоступном хранилище; проба готовности выводит узел из ротации.</t>
        </is>
      </c>
      <c r="K4" s="2" t="inlineStr">
        <is>
          <t>4  высокая</t>
        </is>
      </c>
      <c r="L4" s="3" t="inlineStr">
        <is>
          <t>до 30 секунд на переключение; потеря данных не более 1 секунды</t>
        </is>
      </c>
      <c r="M4" s="3" t="inlineStr">
        <is>
          <t>1  незначительный</t>
        </is>
      </c>
      <c r="N4" s="3" t="inlineStr">
        <is>
          <t>90 тыс. руб./год</t>
        </is>
      </c>
      <c r="O4" s="3" t="inlineStr">
        <is>
          <t>120 тыс. руб./год</t>
        </is>
      </c>
      <c r="P4" s="2" t="str">
        <f>Расчеты!G4&amp;"  "&amp;Расчеты!M4</f>
        <v>4  низкая</v>
      </c>
      <c r="Q4" s="4">
        <f>Расчеты!J4</f>
        <v>1.5</v>
      </c>
      <c r="R4" s="4">
        <f>Расчеты!H4*Расчеты!J4</f>
        <v>600</v>
      </c>
      <c r="S4" s="4">
        <f>Расчеты!I4*Расчеты!J4+Расчеты!K4</f>
        <v>135</v>
      </c>
    </row>
    <row r="5">
      <c r="A5" s="2" t="n">
        <v>4</v>
      </c>
      <c r="B5" s="3" t="inlineStr">
        <is>
          <t>Отказ единственного балансировщика</t>
        </is>
      </c>
      <c r="C5" s="3" t="inlineStr">
        <is>
          <t>Узел с Nginx недоступен, портал не открывается целиком, хотя все узлы приложения работают.</t>
        </is>
      </c>
      <c r="D5" s="3" t="inlineStr">
        <is>
          <t>Сбой машины балансировщика; ошибка в конфигурации при выкатке; исчерпание числа соединений; отказ сетевого интерфейса.</t>
        </is>
      </c>
      <c r="E5" s="3" t="inlineStr">
        <is>
          <t>Балансировщик развернут в одном экземпляре и является единственной точкой входа.</t>
        </is>
      </c>
      <c r="F5" s="3" t="inlineStr">
        <is>
          <t>Полная недоступность портала для всех пользователей независимо от состояния приложения.</t>
        </is>
      </c>
      <c r="G5" s="2" t="inlineStr">
        <is>
          <t>4  высокая</t>
        </is>
      </c>
      <c r="H5" s="2" t="inlineStr">
        <is>
          <t>3  существенный</t>
        </is>
      </c>
      <c r="I5" s="2" t="str">
        <f>Расчеты!D5&amp;"  "&amp;Расчеты!L5</f>
        <v>12  высокая</v>
      </c>
      <c r="J5" s="3" t="inlineStr">
        <is>
          <t>Второй балансировщик и DNS-балансировка на два адреса; плавающий адрес через keepalived; проверка конфигурации до применения; раскатка через Ansible, а не вручную.</t>
        </is>
      </c>
      <c r="K5" s="2" t="inlineStr">
        <is>
          <t>4  высокая</t>
        </is>
      </c>
      <c r="L5" s="3" t="inlineStr">
        <is>
          <t>до 5 минут на переключение адреса</t>
        </is>
      </c>
      <c r="M5" s="3" t="inlineStr">
        <is>
          <t>1  незначительный</t>
        </is>
      </c>
      <c r="N5" s="3" t="inlineStr">
        <is>
          <t>150 тыс. руб./год</t>
        </is>
      </c>
      <c r="O5" s="3" t="inlineStr">
        <is>
          <t>190 тыс. руб./год</t>
        </is>
      </c>
      <c r="P5" s="2" t="str">
        <f>Расчеты!G5&amp;"  "&amp;Расчеты!M5</f>
        <v>4  низкая</v>
      </c>
      <c r="Q5" s="4">
        <f>Расчеты!J5</f>
        <v>1</v>
      </c>
      <c r="R5" s="4">
        <f>Расчеты!H5*Расчеты!J5</f>
        <v>750</v>
      </c>
      <c r="S5" s="4">
        <f>Расчеты!I5*Расчеты!J5+Расчеты!K5</f>
        <v>190</v>
      </c>
    </row>
    <row r="6">
      <c r="A6" s="2" t="n">
        <v>5</v>
      </c>
      <c r="B6" s="3" t="inlineStr">
        <is>
          <t>Истечение или отзыв TLS-сертификата</t>
        </is>
      </c>
      <c r="C6" s="3" t="inlineStr">
        <is>
          <t>Браузеры блокируют вход на портал из-за недействительного сертификата.</t>
        </is>
      </c>
      <c r="D6" s="3" t="inlineStr">
        <is>
          <t>Пропущен срок продления; сломалась автоматизация выпуска; удостоверяющий центр отозвал сертификат; рассинхронизация времени на узле.</t>
        </is>
      </c>
      <c r="E6" s="3" t="inlineStr">
        <is>
          <t>Сертификат продлевается вручную, срок действия никем не контролируется.</t>
        </is>
      </c>
      <c r="F6" s="3" t="inlineStr">
        <is>
          <t>Пользователи видят предупреждение безопасности и уходят, мобильное приложение перестает работать с интерфейсом.</t>
        </is>
      </c>
      <c r="G6" s="2" t="inlineStr">
        <is>
          <t>3  средняя</t>
        </is>
      </c>
      <c r="H6" s="2" t="inlineStr">
        <is>
          <t>3  существенный</t>
        </is>
      </c>
      <c r="I6" s="2" t="str">
        <f>Расчеты!D6&amp;"  "&amp;Расчеты!L6</f>
        <v>9  умеренная</v>
      </c>
      <c r="J6" s="3" t="inlineStr">
        <is>
          <t>Автоматическое продление за 30 дней до истечения; оповещение по остатку срока действия; резервный сертификат от второго центра; сертификаты только на балансировщике, приложение их не обрабатывает.</t>
        </is>
      </c>
      <c r="K6" s="2" t="inlineStr">
        <is>
          <t>1  крайне низкая</t>
        </is>
      </c>
      <c r="L6" s="3" t="inlineStr">
        <is>
          <t>до 15 минут на замену сертификата</t>
        </is>
      </c>
      <c r="M6" s="3" t="inlineStr">
        <is>
          <t>1  незначительный</t>
        </is>
      </c>
      <c r="N6" s="3" t="inlineStr">
        <is>
          <t>40 тыс. руб./год</t>
        </is>
      </c>
      <c r="O6" s="3" t="inlineStr">
        <is>
          <t>60 тыс. руб./год</t>
        </is>
      </c>
      <c r="P6" s="2" t="str">
        <f>Расчеты!G6&amp;"  "&amp;Расчеты!M6</f>
        <v>1  низкая</v>
      </c>
      <c r="Q6" s="4">
        <f>Расчеты!J6</f>
        <v>0.5</v>
      </c>
      <c r="R6" s="4">
        <f>Расчеты!H6*Расчеты!J6</f>
        <v>500</v>
      </c>
      <c r="S6" s="4">
        <f>Расчеты!I6*Расчеты!J6+Расчеты!K6</f>
        <v>50</v>
      </c>
    </row>
    <row r="7">
      <c r="A7" s="2" t="n">
        <v>6</v>
      </c>
      <c r="B7" s="3" t="inlineStr">
        <is>
          <t>Распределенная атака или всплеск трафика</t>
        </is>
      </c>
      <c r="C7" s="3" t="inlineStr">
        <is>
          <t>Входящий поток запросов многократно превышает расчетный и исчерпывает ресурсы узлов.</t>
        </is>
      </c>
      <c r="D7" s="3" t="inlineStr">
        <is>
          <t>Целенаправленная атака; рекламная кампания или авария у конкурента; агрессивные боты и сборщики данных.</t>
        </is>
      </c>
      <c r="E7" s="3" t="inlineStr">
        <is>
          <t>Нет ограничения частоты запросов, нет кэширования, число экземпляров фиксировано.</t>
        </is>
      </c>
      <c r="F7" s="3" t="inlineStr">
        <is>
          <t>Отказ в обслуживании законных пользователей, потеря платежей в пиковый период.</t>
        </is>
      </c>
      <c r="G7" s="2" t="inlineStr">
        <is>
          <t>4  высокая</t>
        </is>
      </c>
      <c r="H7" s="2" t="inlineStr">
        <is>
          <t>2  умеренный</t>
        </is>
      </c>
      <c r="I7" s="2" t="str">
        <f>Расчеты!D7&amp;"  "&amp;Расчеты!L7</f>
        <v>8  умеренная</v>
      </c>
      <c r="J7" s="3" t="inlineStr">
        <is>
          <t>Ограничение частоты и числа соединений на балансировщике; кэширование публичных страниц; быстрое увеличение числа экземпляров; защита на стороне провайдера; раздельные группы для интерфейса и статики.</t>
        </is>
      </c>
      <c r="K7" s="2" t="inlineStr">
        <is>
          <t>4  высокая</t>
        </is>
      </c>
      <c r="L7" s="3" t="inlineStr">
        <is>
          <t>до 10 минут; деградация скорости вместо полного отказа</t>
        </is>
      </c>
      <c r="M7" s="3" t="inlineStr">
        <is>
          <t>1  незначительный</t>
        </is>
      </c>
      <c r="N7" s="3" t="inlineStr">
        <is>
          <t>180 тыс. руб./год</t>
        </is>
      </c>
      <c r="O7" s="3" t="inlineStr">
        <is>
          <t>240 тыс. руб./год</t>
        </is>
      </c>
      <c r="P7" s="2" t="str">
        <f>Расчеты!G7&amp;"  "&amp;Расчеты!M7</f>
        <v>4  низкая</v>
      </c>
      <c r="Q7" s="4">
        <f>Расчеты!J7</f>
        <v>2</v>
      </c>
      <c r="R7" s="4">
        <f>Расчеты!H7*Расчеты!J7</f>
        <v>1000</v>
      </c>
      <c r="S7" s="4">
        <f>Расчеты!I7*Расчеты!J7+Расчеты!K7</f>
        <v>300</v>
      </c>
    </row>
    <row r="8">
      <c r="A8" s="2" t="n">
        <v>7</v>
      </c>
      <c r="B8" s="3" t="inlineStr">
        <is>
          <t>Выкатка неработоспособного релиза</t>
        </is>
      </c>
      <c r="C8" s="3" t="inlineStr">
        <is>
          <t>Новая версия приложения ломает вход, оплату или миграцию базы данных.</t>
        </is>
      </c>
      <c r="D8" s="3" t="inlineStr">
        <is>
          <t>Непроверенный код; несовместимая миграция схемы; ошибка в конфигурации окружения; выкатка сразу на все узлы.</t>
        </is>
      </c>
      <c r="E8" s="3" t="inlineStr">
        <is>
          <t>Нет автоматических тестов, обновление выполняется одновременно везде без проверки работоспособности.</t>
        </is>
      </c>
      <c r="F8" s="3" t="inlineStr">
        <is>
          <t>Сервис недоступен или повреждены данные, требуется срочный откат.</t>
        </is>
      </c>
      <c r="G8" s="2" t="inlineStr">
        <is>
          <t>5  крайне высокая</t>
        </is>
      </c>
      <c r="H8" s="2" t="inlineStr">
        <is>
          <t>2  умеренный</t>
        </is>
      </c>
      <c r="I8" s="2" t="str">
        <f>Расчеты!D8&amp;"  "&amp;Расчеты!L8</f>
        <v>10  высокая</v>
      </c>
      <c r="J8" s="3" t="inlineStr">
        <is>
          <t>Автоматические тесты и линтер на каждое изменение; пошаговое обновление по одному экземпляру с задержкой; проверка здоровья останавливает выкатку; автоматический откат; только обратно совместимые миграции.</t>
        </is>
      </c>
      <c r="K8" s="2" t="inlineStr">
        <is>
          <t>2  низкая</t>
        </is>
      </c>
      <c r="L8" s="3" t="inlineStr">
        <is>
          <t>до 5 минут на автоматический откат</t>
        </is>
      </c>
      <c r="M8" s="3" t="inlineStr">
        <is>
          <t>1  незначительный</t>
        </is>
      </c>
      <c r="N8" s="3" t="inlineStr">
        <is>
          <t>60 тыс. руб./год</t>
        </is>
      </c>
      <c r="O8" s="3" t="inlineStr">
        <is>
          <t>80 тыс. руб./год</t>
        </is>
      </c>
      <c r="P8" s="2" t="str">
        <f>Расчеты!G8&amp;"  "&amp;Расчеты!M8</f>
        <v>2  низкая</v>
      </c>
      <c r="Q8" s="4">
        <f>Расчеты!J8</f>
        <v>4</v>
      </c>
      <c r="R8" s="4">
        <f>Расчеты!H8*Расчеты!J8</f>
        <v>1500</v>
      </c>
      <c r="S8" s="4">
        <f>Расчеты!I8*Расчеты!J8+Расчеты!K8</f>
        <v>140</v>
      </c>
    </row>
    <row r="9">
      <c r="A9" s="2" t="n">
        <v>8</v>
      </c>
      <c r="B9" s="3" t="inlineStr">
        <is>
          <t>Ошибочные действия персонала</t>
        </is>
      </c>
      <c r="C9" s="3" t="inlineStr">
        <is>
          <t>Инженер удаляет стек, том с данными или таблицу на продуктивной среде.</t>
        </is>
      </c>
      <c r="D9" s="3" t="inlineStr">
        <is>
          <t>Работа под административной учетной записью; отсутствие разграничения прав; выполнение команд вручную; спешка при инциденте.</t>
        </is>
      </c>
      <c r="E9" s="3" t="inlineStr">
        <is>
          <t>Прямой доступ к продуктивным узлам, нет подтверждения опасных операций и нет проверенных резервных копий.</t>
        </is>
      </c>
      <c r="F9" s="3" t="inlineStr">
        <is>
          <t>Потеря данных и длительный простой, восстановление вручную.</t>
        </is>
      </c>
      <c r="G9" s="2" t="inlineStr">
        <is>
          <t>4  высокая</t>
        </is>
      </c>
      <c r="H9" s="2" t="inlineStr">
        <is>
          <t>4  тяжелый</t>
        </is>
      </c>
      <c r="I9" s="2" t="str">
        <f>Расчеты!D9&amp;"  "&amp;Расчеты!L9</f>
        <v>16  высокая</v>
      </c>
      <c r="J9" s="3" t="inlineStr">
        <is>
          <t>Роли и ограниченные учетные записи в Portainer вместо общего администратора; изменения через описания инфраструктуры, а не руками; резервные копии с проверкой восстановления; журналирование действий администраторов.</t>
        </is>
      </c>
      <c r="K9" s="2" t="inlineStr">
        <is>
          <t>2  низкая</t>
        </is>
      </c>
      <c r="L9" s="3" t="inlineStr">
        <is>
          <t>до 1 часа на восстановление; потеря данных не более 5 минут</t>
        </is>
      </c>
      <c r="M9" s="3" t="inlineStr">
        <is>
          <t>2  умеренный</t>
        </is>
      </c>
      <c r="N9" s="3" t="inlineStr">
        <is>
          <t>70 тыс. руб./год</t>
        </is>
      </c>
      <c r="O9" s="3" t="inlineStr">
        <is>
          <t>320 тыс. руб./год</t>
        </is>
      </c>
      <c r="P9" s="2" t="str">
        <f>Расчеты!G9&amp;"  "&amp;Расчеты!M9</f>
        <v>4  низкая</v>
      </c>
      <c r="Q9" s="4">
        <f>Расчеты!J9</f>
        <v>1</v>
      </c>
      <c r="R9" s="4">
        <f>Расчеты!H9*Расчеты!J9</f>
        <v>2000</v>
      </c>
      <c r="S9" s="4">
        <f>Расчеты!I9*Расчеты!J9+Расчеты!K9</f>
        <v>320</v>
      </c>
    </row>
    <row r="10">
      <c r="A10" s="2" t="n">
        <v>9</v>
      </c>
      <c r="B10" s="3" t="inlineStr">
        <is>
          <t>Переполнение диска на узле</t>
        </is>
      </c>
      <c r="C10" s="3" t="inlineStr">
        <is>
          <t>Свободное место на узле заканчивается, службы перестают писать и останавливаются.</t>
        </is>
      </c>
      <c r="D10" s="3" t="inlineStr">
        <is>
          <t>Неограниченный рост журналов контейнеров; резервные копии складываются на тот же диск; временные файлы не удаляются.</t>
        </is>
      </c>
      <c r="E10" s="3" t="inlineStr">
        <is>
          <t>Нет ротации журналов и нет контроля свободного места.</t>
        </is>
      </c>
      <c r="F10" s="3" t="inlineStr">
        <is>
          <t>Отказ приложения и базы данных на узле, возможное повреждение файлов данных.</t>
        </is>
      </c>
      <c r="G10" s="2" t="inlineStr">
        <is>
          <t>4  высокая</t>
        </is>
      </c>
      <c r="H10" s="2" t="inlineStr">
        <is>
          <t>3  существенный</t>
        </is>
      </c>
      <c r="I10" s="2" t="str">
        <f>Расчеты!D10&amp;"  "&amp;Расчеты!L10</f>
        <v>12  высокая</v>
      </c>
      <c r="J10" s="3" t="inlineStr">
        <is>
          <t>Ротация журналов с ограничением размера и числа файлов; оповещение при заполнении диска на 80 процентов; резервные копии на отдельное хранилище; регулярная очистка неиспользуемых образов.</t>
        </is>
      </c>
      <c r="K10" s="2" t="inlineStr">
        <is>
          <t>1  крайне низкая</t>
        </is>
      </c>
      <c r="L10" s="3" t="inlineStr">
        <is>
          <t>до 20 минут на освобождение места</t>
        </is>
      </c>
      <c r="M10" s="3" t="inlineStr">
        <is>
          <t>1  незначительный</t>
        </is>
      </c>
      <c r="N10" s="3" t="inlineStr">
        <is>
          <t>30 тыс. руб./год</t>
        </is>
      </c>
      <c r="O10" s="3" t="inlineStr">
        <is>
          <t>45 тыс. руб./год</t>
        </is>
      </c>
      <c r="P10" s="2" t="str">
        <f>Расчеты!G10&amp;"  "&amp;Расчеты!M10</f>
        <v>1  низкая</v>
      </c>
      <c r="Q10" s="4">
        <f>Расчеты!J10</f>
        <v>1.5</v>
      </c>
      <c r="R10" s="4">
        <f>Расчеты!H10*Расчеты!J10</f>
        <v>1125</v>
      </c>
      <c r="S10" s="4">
        <f>Расчеты!I10*Расчеты!J10+Расчеты!K10</f>
        <v>52.5</v>
      </c>
    </row>
    <row r="11">
      <c r="A11" s="2" t="n">
        <v>10</v>
      </c>
      <c r="B11" s="3" t="inlineStr">
        <is>
          <t>Позднее обнаружение инцидента</t>
        </is>
      </c>
      <c r="C11" s="3" t="inlineStr">
        <is>
          <t>О сбое узнают от пользователей и из социальных сетей, а не от системы мониторинга.</t>
        </is>
      </c>
      <c r="D11" s="3" t="inlineStr">
        <is>
          <t>Нет сбора метрик и оповещений; журналы разрознены по узлам; никто не дежурит вне рабочего дня.</t>
        </is>
      </c>
      <c r="E11" s="3" t="inlineStr">
        <is>
          <t>Мониторинг не развернут либо развернут без правил оповещения.</t>
        </is>
      </c>
      <c r="F11" s="3" t="inlineStr">
        <is>
          <t>Каждый инцидент длится на несколько часов дольше, растет суммарный простой и отток абонентов.</t>
        </is>
      </c>
      <c r="G11" s="2" t="inlineStr">
        <is>
          <t>5  крайне высокая</t>
        </is>
      </c>
      <c r="H11" s="2" t="inlineStr">
        <is>
          <t>2  умеренный</t>
        </is>
      </c>
      <c r="I11" s="2" t="str">
        <f>Расчеты!D11&amp;"  "&amp;Расчеты!L11</f>
        <v>10  высокая</v>
      </c>
      <c r="J11" s="3" t="inlineStr">
        <is>
          <t>Prometheus со сбором метрик со всех узлов и метриками приложения; панели Grafana; правила оповещения с отправкой в мессенджер; Portainer для быстрого просмотра журналов и потребления ресурсов.</t>
        </is>
      </c>
      <c r="K11" s="2" t="inlineStr">
        <is>
          <t>2  низкая</t>
        </is>
      </c>
      <c r="L11" s="3" t="inlineStr">
        <is>
          <t>обнаружение за 2 минуты вместо 2 часов</t>
        </is>
      </c>
      <c r="M11" s="3" t="inlineStr">
        <is>
          <t>1  незначительный</t>
        </is>
      </c>
      <c r="N11" s="3" t="inlineStr">
        <is>
          <t>120 тыс. руб./год</t>
        </is>
      </c>
      <c r="O11" s="3" t="inlineStr">
        <is>
          <t>170 тыс. руб./год</t>
        </is>
      </c>
      <c r="P11" s="2" t="str">
        <f>Расчеты!G11&amp;"  "&amp;Расчеты!M11</f>
        <v>2  низкая</v>
      </c>
      <c r="Q11" s="4">
        <f>Расчеты!J11</f>
        <v>4</v>
      </c>
      <c r="R11" s="4">
        <f>Расчеты!H11*Расчеты!J11</f>
        <v>2000</v>
      </c>
      <c r="S11" s="4">
        <f>Расчеты!I11*Расчеты!J11+Расчеты!K11</f>
        <v>320</v>
      </c>
    </row>
    <row r="12">
      <c r="A12" s="2" t="n">
        <v>11</v>
      </c>
      <c r="B12" s="3" t="inlineStr">
        <is>
          <t>Компрометация учетных данных и утечка персональных данных</t>
        </is>
      </c>
      <c r="C12" s="3" t="inlineStr">
        <is>
          <t>Злоумышленник получает доступ к базе абонентов через утекшие секреты.</t>
        </is>
      </c>
      <c r="D12" s="3" t="inlineStr">
        <is>
          <t>Пароли и ключи в репозитории или в переменных окружения; отсутствие двухфакторной аутентификации; повторное использование паролей; уязвимость в базовом образе.</t>
        </is>
      </c>
      <c r="E12" s="3" t="inlineStr">
        <is>
          <t>Секреты хранятся в открытом виде, доступ к панели управления не ограничен по сети.</t>
        </is>
      </c>
      <c r="F12" s="3" t="inlineStr">
        <is>
          <t>Утечка персональных данных 1,2 млн пользователей, оборотный штраф, потеря доверия и отток абонентов.</t>
        </is>
      </c>
      <c r="G12" s="2" t="inlineStr">
        <is>
          <t>2  низкая</t>
        </is>
      </c>
      <c r="H12" s="2" t="inlineStr">
        <is>
          <t>5  катастрофический</t>
        </is>
      </c>
      <c r="I12" s="2" t="str">
        <f>Расчеты!D12&amp;"  "&amp;Расчеты!L12</f>
        <v>10  высокая</v>
      </c>
      <c r="J12" s="3" t="inlineStr">
        <is>
          <t>Секреты оркестратора вместо переменных окружения; исключение файлов с паролями из репозитория и их поиск при сборке; двухфакторная аутентификация администраторов; регулярное обновление базовых образов; доступ к панелям только из внутренней сети.</t>
        </is>
      </c>
      <c r="K12" s="2" t="inlineStr">
        <is>
          <t>1  крайне низкая</t>
        </is>
      </c>
      <c r="L12" s="3" t="inlineStr">
        <is>
          <t>до 4 часов на смену ключей и локализацию</t>
        </is>
      </c>
      <c r="M12" s="3" t="inlineStr">
        <is>
          <t>2  умеренный</t>
        </is>
      </c>
      <c r="N12" s="3" t="inlineStr">
        <is>
          <t>80 тыс. руб./год</t>
        </is>
      </c>
      <c r="O12" s="3" t="inlineStr">
        <is>
          <t>380 тыс. руб./год</t>
        </is>
      </c>
      <c r="P12" s="2" t="str">
        <f>Расчеты!G12&amp;"  "&amp;Расчеты!M12</f>
        <v>2  низкая</v>
      </c>
      <c r="Q12" s="4">
        <f>Расчеты!J12</f>
        <v>0.3</v>
      </c>
      <c r="R12" s="4">
        <f>Расчеты!H12*Расчеты!J12</f>
        <v>1500</v>
      </c>
      <c r="S12" s="4">
        <f>Расчеты!I12*Расчеты!J12+Расчеты!K12</f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45" customHeight="1">
      <c r="A1" s="1" t="inlineStr">
        <is>
          <t>№</t>
        </is>
      </c>
      <c r="B1" s="1" t="inlineStr">
        <is>
          <t>Балл вероятности</t>
        </is>
      </c>
      <c r="C1" s="1" t="inlineStr">
        <is>
          <t>Балл ущерба</t>
        </is>
      </c>
      <c r="D1" s="1" t="inlineStr">
        <is>
          <t>Критичность исходная</t>
        </is>
      </c>
      <c r="E1" s="1" t="inlineStr">
        <is>
          <t>Балл вероятности целевой</t>
        </is>
      </c>
      <c r="F1" s="1" t="inlineStr">
        <is>
          <t>Балл ущерба целевого</t>
        </is>
      </c>
      <c r="G1" s="1" t="inlineStr">
        <is>
          <t>Критичность итоговая целевая</t>
        </is>
      </c>
      <c r="H1" s="1" t="inlineStr">
        <is>
          <t>Ущерб, тыс. руб.</t>
        </is>
      </c>
      <c r="I1" s="1" t="inlineStr">
        <is>
          <t>Ущерб целевой, тыс. руб.</t>
        </is>
      </c>
      <c r="J1" s="1" t="inlineStr">
        <is>
          <t>Кратность за период</t>
        </is>
      </c>
      <c r="K1" s="1" t="inlineStr">
        <is>
          <t>Цена мероприятий, тыс. руб./год</t>
        </is>
      </c>
      <c r="L1" s="1" t="inlineStr">
        <is>
          <t>Метка критичности исходной</t>
        </is>
      </c>
      <c r="M1" s="1" t="inlineStr">
        <is>
          <t>Метка критичности целевой</t>
        </is>
      </c>
    </row>
    <row r="2">
      <c r="A2" s="5" t="n">
        <v>1</v>
      </c>
      <c r="B2" s="5" t="n">
        <v>5</v>
      </c>
      <c r="C2" s="5" t="n">
        <v>2</v>
      </c>
      <c r="D2" s="5">
        <f>B2*C2</f>
        <v>10</v>
      </c>
      <c r="E2" s="5" t="n">
        <v>5</v>
      </c>
      <c r="F2" s="5" t="n">
        <v>1</v>
      </c>
      <c r="G2" s="5">
        <f>E2*F2</f>
        <v>5</v>
      </c>
      <c r="H2" s="5" t="n">
        <v>500</v>
      </c>
      <c r="I2" s="5" t="n">
        <v>5</v>
      </c>
      <c r="J2" s="5" t="n">
        <v>3</v>
      </c>
      <c r="K2" s="5" t="n">
        <v>140</v>
      </c>
      <c r="L2" s="5" t="str">
        <f>IF(D2&gt;=17,"критическая",IF(D2&gt;=10,"высокая",IF(D2&gt;=5,"умеренная","низкая")))</f>
        <v>высокая</v>
      </c>
      <c r="M2" s="5" t="str">
        <f>IF(G2&gt;=17,"критическая",IF(G2&gt;=10,"высокая",IF(G2&gt;=5,"умеренная","низкая")))</f>
        <v>умеренная</v>
      </c>
    </row>
    <row r="3">
      <c r="A3" s="5" t="n">
        <v>2</v>
      </c>
      <c r="B3" s="5" t="n">
        <v>1</v>
      </c>
      <c r="C3" s="5" t="n">
        <v>5</v>
      </c>
      <c r="D3" s="5">
        <f>B3*C3</f>
        <v>5</v>
      </c>
      <c r="E3" s="5" t="n">
        <v>1</v>
      </c>
      <c r="F3" s="5" t="n">
        <v>2</v>
      </c>
      <c r="G3" s="5">
        <f>E3*F3</f>
        <v>2</v>
      </c>
      <c r="H3" s="5" t="n">
        <v>8000</v>
      </c>
      <c r="I3" s="5" t="n">
        <v>300</v>
      </c>
      <c r="J3" s="5" t="n">
        <v>0.1</v>
      </c>
      <c r="K3" s="5" t="n">
        <v>200</v>
      </c>
      <c r="L3" s="5" t="str">
        <f>IF(D3&gt;=17,"критическая",IF(D3&gt;=10,"высокая",IF(D3&gt;=5,"умеренная","низкая")))</f>
        <v>умеренная</v>
      </c>
      <c r="M3" s="5" t="str">
        <f>IF(G3&gt;=17,"критическая",IF(G3&gt;=10,"высокая",IF(G3&gt;=5,"умеренная","низкая")))</f>
        <v>низкая</v>
      </c>
    </row>
    <row r="4">
      <c r="A4" s="5" t="n">
        <v>3</v>
      </c>
      <c r="B4" s="5" t="n">
        <v>4</v>
      </c>
      <c r="C4" s="5" t="n">
        <v>2</v>
      </c>
      <c r="D4" s="5">
        <f>B4*C4</f>
        <v>8</v>
      </c>
      <c r="E4" s="5" t="n">
        <v>4</v>
      </c>
      <c r="F4" s="5" t="n">
        <v>1</v>
      </c>
      <c r="G4" s="5">
        <f>E4*F4</f>
        <v>4</v>
      </c>
      <c r="H4" s="5" t="n">
        <v>400</v>
      </c>
      <c r="I4" s="5" t="n">
        <v>30</v>
      </c>
      <c r="J4" s="5" t="n">
        <v>1.5</v>
      </c>
      <c r="K4" s="5" t="n">
        <v>90</v>
      </c>
      <c r="L4" s="5" t="str">
        <f>IF(D4&gt;=17,"критическая",IF(D4&gt;=10,"высокая",IF(D4&gt;=5,"умеренная","низкая")))</f>
        <v>умеренная</v>
      </c>
      <c r="M4" s="5" t="str">
        <f>IF(G4&gt;=17,"критическая",IF(G4&gt;=10,"высокая",IF(G4&gt;=5,"умеренная","низкая")))</f>
        <v>низкая</v>
      </c>
    </row>
    <row r="5">
      <c r="A5" s="5" t="n">
        <v>4</v>
      </c>
      <c r="B5" s="5" t="n">
        <v>4</v>
      </c>
      <c r="C5" s="5" t="n">
        <v>3</v>
      </c>
      <c r="D5" s="5">
        <f>B5*C5</f>
        <v>12</v>
      </c>
      <c r="E5" s="5" t="n">
        <v>4</v>
      </c>
      <c r="F5" s="5" t="n">
        <v>1</v>
      </c>
      <c r="G5" s="5">
        <f>E5*F5</f>
        <v>4</v>
      </c>
      <c r="H5" s="5" t="n">
        <v>750</v>
      </c>
      <c r="I5" s="5" t="n">
        <v>40</v>
      </c>
      <c r="J5" s="5" t="n">
        <v>1</v>
      </c>
      <c r="K5" s="5" t="n">
        <v>150</v>
      </c>
      <c r="L5" s="5" t="str">
        <f>IF(D5&gt;=17,"критическая",IF(D5&gt;=10,"высокая",IF(D5&gt;=5,"умеренная","низкая")))</f>
        <v>высокая</v>
      </c>
      <c r="M5" s="5" t="str">
        <f>IF(G5&gt;=17,"критическая",IF(G5&gt;=10,"высокая",IF(G5&gt;=5,"умеренная","низкая")))</f>
        <v>низкая</v>
      </c>
    </row>
    <row r="6">
      <c r="A6" s="5" t="n">
        <v>5</v>
      </c>
      <c r="B6" s="5" t="n">
        <v>3</v>
      </c>
      <c r="C6" s="5" t="n">
        <v>3</v>
      </c>
      <c r="D6" s="5">
        <f>B6*C6</f>
        <v>9</v>
      </c>
      <c r="E6" s="5" t="n">
        <v>1</v>
      </c>
      <c r="F6" s="5" t="n">
        <v>1</v>
      </c>
      <c r="G6" s="5">
        <f>E6*F6</f>
        <v>1</v>
      </c>
      <c r="H6" s="5" t="n">
        <v>1000</v>
      </c>
      <c r="I6" s="5" t="n">
        <v>20</v>
      </c>
      <c r="J6" s="5" t="n">
        <v>0.5</v>
      </c>
      <c r="K6" s="5" t="n">
        <v>40</v>
      </c>
      <c r="L6" s="5" t="str">
        <f>IF(D6&gt;=17,"критическая",IF(D6&gt;=10,"высокая",IF(D6&gt;=5,"умеренная","низкая")))</f>
        <v>умеренная</v>
      </c>
      <c r="M6" s="5" t="str">
        <f>IF(G6&gt;=17,"критическая",IF(G6&gt;=10,"высокая",IF(G6&gt;=5,"умеренная","низкая")))</f>
        <v>низкая</v>
      </c>
    </row>
    <row r="7">
      <c r="A7" s="5" t="n">
        <v>6</v>
      </c>
      <c r="B7" s="5" t="n">
        <v>4</v>
      </c>
      <c r="C7" s="5" t="n">
        <v>2</v>
      </c>
      <c r="D7" s="5">
        <f>B7*C7</f>
        <v>8</v>
      </c>
      <c r="E7" s="5" t="n">
        <v>4</v>
      </c>
      <c r="F7" s="5" t="n">
        <v>1</v>
      </c>
      <c r="G7" s="5">
        <f>E7*F7</f>
        <v>4</v>
      </c>
      <c r="H7" s="5" t="n">
        <v>500</v>
      </c>
      <c r="I7" s="5" t="n">
        <v>60</v>
      </c>
      <c r="J7" s="5" t="n">
        <v>2</v>
      </c>
      <c r="K7" s="5" t="n">
        <v>180</v>
      </c>
      <c r="L7" s="5" t="str">
        <f>IF(D7&gt;=17,"критическая",IF(D7&gt;=10,"высокая",IF(D7&gt;=5,"умеренная","низкая")))</f>
        <v>умеренная</v>
      </c>
      <c r="M7" s="5" t="str">
        <f>IF(G7&gt;=17,"критическая",IF(G7&gt;=10,"высокая",IF(G7&gt;=5,"умеренная","низкая")))</f>
        <v>низкая</v>
      </c>
    </row>
    <row r="8">
      <c r="A8" s="5" t="n">
        <v>7</v>
      </c>
      <c r="B8" s="5" t="n">
        <v>5</v>
      </c>
      <c r="C8" s="5" t="n">
        <v>2</v>
      </c>
      <c r="D8" s="5">
        <f>B8*C8</f>
        <v>10</v>
      </c>
      <c r="E8" s="5" t="n">
        <v>2</v>
      </c>
      <c r="F8" s="5" t="n">
        <v>1</v>
      </c>
      <c r="G8" s="5">
        <f>E8*F8</f>
        <v>2</v>
      </c>
      <c r="H8" s="5" t="n">
        <v>375</v>
      </c>
      <c r="I8" s="5" t="n">
        <v>20</v>
      </c>
      <c r="J8" s="5" t="n">
        <v>4</v>
      </c>
      <c r="K8" s="5" t="n">
        <v>60</v>
      </c>
      <c r="L8" s="5" t="str">
        <f>IF(D8&gt;=17,"критическая",IF(D8&gt;=10,"высокая",IF(D8&gt;=5,"умеренная","низкая")))</f>
        <v>высокая</v>
      </c>
      <c r="M8" s="5" t="str">
        <f>IF(G8&gt;=17,"критическая",IF(G8&gt;=10,"высокая",IF(G8&gt;=5,"умеренная","низкая")))</f>
        <v>низкая</v>
      </c>
    </row>
    <row r="9">
      <c r="A9" s="5" t="n">
        <v>8</v>
      </c>
      <c r="B9" s="5" t="n">
        <v>4</v>
      </c>
      <c r="C9" s="5" t="n">
        <v>4</v>
      </c>
      <c r="D9" s="5">
        <f>B9*C9</f>
        <v>16</v>
      </c>
      <c r="E9" s="5" t="n">
        <v>2</v>
      </c>
      <c r="F9" s="5" t="n">
        <v>2</v>
      </c>
      <c r="G9" s="5">
        <f>E9*F9</f>
        <v>4</v>
      </c>
      <c r="H9" s="5" t="n">
        <v>2000</v>
      </c>
      <c r="I9" s="5" t="n">
        <v>250</v>
      </c>
      <c r="J9" s="5" t="n">
        <v>1</v>
      </c>
      <c r="K9" s="5" t="n">
        <v>70</v>
      </c>
      <c r="L9" s="5" t="str">
        <f>IF(D9&gt;=17,"критическая",IF(D9&gt;=10,"высокая",IF(D9&gt;=5,"умеренная","низкая")))</f>
        <v>высокая</v>
      </c>
      <c r="M9" s="5" t="str">
        <f>IF(G9&gt;=17,"критическая",IF(G9&gt;=10,"высокая",IF(G9&gt;=5,"умеренная","низкая")))</f>
        <v>низкая</v>
      </c>
    </row>
    <row r="10">
      <c r="A10" s="5" t="n">
        <v>9</v>
      </c>
      <c r="B10" s="5" t="n">
        <v>4</v>
      </c>
      <c r="C10" s="5" t="n">
        <v>3</v>
      </c>
      <c r="D10" s="5">
        <f>B10*C10</f>
        <v>12</v>
      </c>
      <c r="E10" s="5" t="n">
        <v>1</v>
      </c>
      <c r="F10" s="5" t="n">
        <v>1</v>
      </c>
      <c r="G10" s="5">
        <f>E10*F10</f>
        <v>1</v>
      </c>
      <c r="H10" s="5" t="n">
        <v>750</v>
      </c>
      <c r="I10" s="5" t="n">
        <v>15</v>
      </c>
      <c r="J10" s="5" t="n">
        <v>1.5</v>
      </c>
      <c r="K10" s="5" t="n">
        <v>30</v>
      </c>
      <c r="L10" s="5" t="str">
        <f>IF(D10&gt;=17,"критическая",IF(D10&gt;=10,"высокая",IF(D10&gt;=5,"умеренная","низкая")))</f>
        <v>высокая</v>
      </c>
      <c r="M10" s="5" t="str">
        <f>IF(G10&gt;=17,"критическая",IF(G10&gt;=10,"высокая",IF(G10&gt;=5,"умеренная","низкая")))</f>
        <v>низкая</v>
      </c>
    </row>
    <row r="11">
      <c r="A11" s="5" t="n">
        <v>10</v>
      </c>
      <c r="B11" s="5" t="n">
        <v>5</v>
      </c>
      <c r="C11" s="5" t="n">
        <v>2</v>
      </c>
      <c r="D11" s="5">
        <f>B11*C11</f>
        <v>10</v>
      </c>
      <c r="E11" s="5" t="n">
        <v>2</v>
      </c>
      <c r="F11" s="5" t="n">
        <v>1</v>
      </c>
      <c r="G11" s="5">
        <f>E11*F11</f>
        <v>2</v>
      </c>
      <c r="H11" s="5" t="n">
        <v>500</v>
      </c>
      <c r="I11" s="5" t="n">
        <v>50</v>
      </c>
      <c r="J11" s="5" t="n">
        <v>4</v>
      </c>
      <c r="K11" s="5" t="n">
        <v>120</v>
      </c>
      <c r="L11" s="5" t="str">
        <f>IF(D11&gt;=17,"критическая",IF(D11&gt;=10,"высокая",IF(D11&gt;=5,"умеренная","низкая")))</f>
        <v>высокая</v>
      </c>
      <c r="M11" s="5" t="str">
        <f>IF(G11&gt;=17,"критическая",IF(G11&gt;=10,"высокая",IF(G11&gt;=5,"умеренная","низкая")))</f>
        <v>низкая</v>
      </c>
    </row>
    <row r="12">
      <c r="A12" s="5" t="n">
        <v>11</v>
      </c>
      <c r="B12" s="5" t="n">
        <v>2</v>
      </c>
      <c r="C12" s="5" t="n">
        <v>5</v>
      </c>
      <c r="D12" s="5">
        <f>B12*C12</f>
        <v>10</v>
      </c>
      <c r="E12" s="5" t="n">
        <v>1</v>
      </c>
      <c r="F12" s="5" t="n">
        <v>2</v>
      </c>
      <c r="G12" s="5">
        <f>E12*F12</f>
        <v>2</v>
      </c>
      <c r="H12" s="5" t="n">
        <v>5000</v>
      </c>
      <c r="I12" s="5" t="n">
        <v>300</v>
      </c>
      <c r="J12" s="5" t="n">
        <v>0.3</v>
      </c>
      <c r="K12" s="5" t="n">
        <v>80</v>
      </c>
      <c r="L12" s="5" t="str">
        <f>IF(D12&gt;=17,"критическая",IF(D12&gt;=10,"высокая",IF(D12&gt;=5,"умеренная","низкая")))</f>
        <v>высокая</v>
      </c>
      <c r="M12" s="5" t="str">
        <f>IF(G12&gt;=17,"критическая",IF(G12&gt;=10,"высокая",IF(G12&gt;=5,"умеренная","низкая")))</f>
        <v>низкая</v>
      </c>
    </row>
    <row r="14">
      <c r="A14" s="6" t="inlineStr">
        <is>
          <t>Лист с расчетами. Лист1 ссылается сюда формулами, править нужно здесь.</t>
        </is>
      </c>
    </row>
    <row r="15">
      <c r="A15" s="7" t="inlineStr">
        <is>
          <t>Вероятность и ущерб оценены по пятибалльной шкале; критичность равна произведению баллов.</t>
        </is>
      </c>
    </row>
    <row r="16">
      <c r="A16" s="7" t="inlineStr">
        <is>
          <t>Шкала критичности: до 4 низкая, 5-9 умеренная, 10-16 высокая, 17 и выше критическая.</t>
        </is>
      </c>
    </row>
    <row r="17">
      <c r="A17" s="7" t="inlineStr">
        <is>
          <t>Кратность за период — ожидаемое число реализаций риска за год.</t>
        </is>
      </c>
    </row>
    <row r="18">
      <c r="A18" s="7" t="inlineStr">
        <is>
          <t>Итоговый ущерб исходный = ущерб × кратность. Итоговый ущерб целевой = ущерб целевой × кратность + цена мероприятий.</t>
        </is>
      </c>
    </row>
    <row r="19">
      <c r="A19" s="7" t="inlineStr">
        <is>
          <t>Все денежные величины указаны в тысячах рублей за год.</t>
        </is>
      </c>
    </row>
    <row r="20">
      <c r="A20" s="7" t="inlineStr">
        <is>
          <t>База расчета: простой портала стоит 250 тыс. руб. за час недоступности.</t>
        </is>
      </c>
    </row>
    <row r="21">
      <c r="A21" s="7" t="inlineStr">
        <is>
          <t>Компания учебная, все показатели являются допущениями автора.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2026-09-20T16:04:28Z</dcterms:created>
  <dcterms:modified xsi:type="dcterms:W3CDTF">2026-09-20T16:04:28Z</dcterms:modified>
</cp:coreProperties>
</file>
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Лист1" sheetId="1" state="visible" r:id="rId1"/>
    <sheet name="Расчет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A1" sqref="A1"/>
    </sheetView>
  </sheetViews>
  <sheetFormatPr baseColWidth="8" defaultRowHeight="15"/>
  <cols>
    <col width="5.14" customWidth="1" min="1" max="1"/>
    <col width="26.43" customWidth="1" min="2" max="2"/>
    <col width="24.57" customWidth="1" min="5" max="5"/>
    <col width="24.14" customWidth="1" min="6" max="6"/>
    <col width="10.86" customWidth="1" min="7" max="7"/>
    <col width="19.57" customWidth="1" min="8" max="8"/>
    <col width="15.14" customWidth="1" min="9" max="9"/>
    <col width="30" customWidth="1" min="10" max="10"/>
    <col width="15.14" customWidth="1" min="11" max="11"/>
    <col width="33.86" customWidth="1" min="20" max="20"/>
  </cols>
  <sheetData>
    <row r="1" ht="53.25" customHeight="1">
      <c r="A1" s="1" t="inlineStr"/>
      <c r="B1" s="1" t="inlineStr">
        <is>
          <t>Название риска</t>
        </is>
      </c>
      <c r="C1" s="1" t="inlineStr">
        <is>
          <t>Описание риска</t>
        </is>
      </c>
      <c r="D1" s="1" t="inlineStr">
        <is>
          <t>Причина</t>
        </is>
      </c>
      <c r="E1" s="1" t="inlineStr">
        <is>
          <t>Условия реализации</t>
        </is>
      </c>
      <c r="F1" s="1" t="inlineStr">
        <is>
          <t>Последствия</t>
        </is>
      </c>
      <c r="G1" s="1" t="inlineStr">
        <is>
          <t>Вероятность</t>
        </is>
      </c>
      <c r="H1" s="1" t="inlineStr">
        <is>
          <t>Ущерб</t>
        </is>
      </c>
      <c r="I1" s="1" t="inlineStr">
        <is>
          <t>Критичность исходная</t>
        </is>
      </c>
      <c r="J1" s="1" t="inlineStr">
        <is>
          <t>Меры</t>
        </is>
      </c>
      <c r="K1" s="1" t="inlineStr">
        <is>
          <t>Вероятность целевая</t>
        </is>
      </c>
      <c r="L1" s="1" t="inlineStr">
        <is>
          <t>Целевое время устранения последствий</t>
        </is>
      </c>
      <c r="M1" s="1" t="inlineStr">
        <is>
          <t>Ущерб целевой</t>
        </is>
      </c>
      <c r="N1" s="1" t="inlineStr">
        <is>
          <t>Цена реализации мероприятий</t>
        </is>
      </c>
      <c r="O1" s="1" t="inlineStr">
        <is>
          <t>Ущерб итоговый целевой</t>
        </is>
      </c>
      <c r="P1" s="1" t="inlineStr">
        <is>
          <t>Критичность итоговая целевая</t>
        </is>
      </c>
      <c r="Q1" s="1" t="inlineStr">
        <is>
          <t>Кратность за период</t>
        </is>
      </c>
      <c r="R1" s="1" t="inlineStr">
        <is>
          <t>Итоговый ущерб исходный</t>
        </is>
      </c>
      <c r="S1" s="1" t="inlineStr">
        <is>
          <t>Итоговый ущерб целевой</t>
        </is>
      </c>
    </row>
    <row r="2">
      <c r="A2" s="2" t="n">
        <v>1</v>
      </c>
      <c r="B2" s="3" t="inlineStr">
        <is>
          <t>Отказ одного экземпляра веб-приложения</t>
        </is>
      </c>
      <c r="C2" s="3" t="inlineStr">
        <is>
          <t>Один из экземпляров портала перестает отвечать на запросы балансировщика.</t>
        </is>
      </c>
      <c r="D2" s="3" t="inlineStr">
        <is>
          <t>Утечка памяти и остановка по нехватке ОЗУ; аварийное завершение процесса; сбой ОС или гипервизора на узле; исчерпание файловых дескрипторов.</t>
        </is>
      </c>
      <c r="E2" s="3" t="inlineStr">
        <is>
          <t>Приложение запущено в единственном экземпляре либо балансировщик не исключает неработающий узел из ротации.</t>
        </is>
      </c>
      <c r="F2" s="3" t="inlineStr">
        <is>
          <t>Часть запросов завершается ошибкой, личный кабинет и прием платежей недоступны до ручного перезапуска.</t>
        </is>
      </c>
      <c r="G2" s="2" t="inlineStr">
        <is>
          <t>5  крайне высокая</t>
        </is>
      </c>
      <c r="H2" s="2" t="inlineStr">
        <is>
          <t>2  умеренный</t>
        </is>
      </c>
      <c r="I2" s="2" t="str">
        <f>Расчеты!D2&amp;"  "&amp;Расчеты!L2</f>
        <v>10  высокая</v>
      </c>
      <c r="J2" s="3" t="inlineStr">
        <is>
          <t>Реализовано: два и более идентичных экземпляра за Nginx; проверка доступности узла по отдельному адресу; исключение узла после трех неудач подряд; таймаут подключения две секунды и перевод запроса на живой узел; автоматический перезапуск упавшей задачи оркестратором.</t>
        </is>
      </c>
      <c r="K2" s="2" t="inlineStr">
        <is>
          <t>5  крайне высокая</t>
        </is>
      </c>
      <c r="L2" s="3" t="inlineStr">
        <is>
          <t>до 2 секунд на переключение трафика; потери данных нет</t>
        </is>
      </c>
      <c r="M2" s="3" t="inlineStr">
        <is>
          <t>1  незначительный</t>
        </is>
      </c>
      <c r="N2" s="3" t="inlineStr">
        <is>
          <t>140 тыс. руб./год</t>
        </is>
      </c>
      <c r="O2" s="3" t="inlineStr">
        <is>
          <t>145 тыс. руб./год</t>
        </is>
      </c>
      <c r="P2" s="2" t="str">
        <f>Расчеты!G2&amp;"  "&amp;Расчеты!M2</f>
        <v>5  умеренная</v>
      </c>
      <c r="Q2" s="4">
        <f>Расчеты!J2</f>
        <v>3</v>
      </c>
      <c r="R2" s="4">
        <f>Расчеты!H2*Расчеты!J2</f>
        <v>1500</v>
      </c>
      <c r="S2" s="4">
        <f>Расчеты!I2*Расчеты!J2+Расчеты!K2</f>
        <v>155</v>
      </c>
    </row>
    <row r="3">
      <c r="A3" s="2" t="n">
        <v>2</v>
      </c>
      <c r="B3" s="3" t="inlineStr">
        <is>
          <t>Потеря пользовательских сессий при отказе узла</t>
        </is>
      </c>
      <c r="C3" s="3" t="inlineStr">
        <is>
          <t>Пользователи, чьи сессии обслуживал отказавший узел, принудительно разлогиниваются.</t>
        </is>
      </c>
      <c r="D3" s="3" t="inlineStr">
        <is>
          <t>Хранение сессий в оперативной памяти процесса или в локальных файлах узла; перезапуск экземпляра; переезд задачи на другой узел.</t>
        </is>
      </c>
      <c r="E3" s="3" t="inlineStr">
        <is>
          <t>Сессия существует только на том узле, который ее создал, и балансировщик отправляет следующий запрос на другой узел.</t>
        </is>
      </c>
      <c r="F3" s="3" t="inlineStr">
        <is>
          <t>Разлогин части пользователей при каждом отказе или обновлении, всплеск обращений в поддержку, брошенные платежи.</t>
        </is>
      </c>
      <c r="G3" s="2" t="inlineStr">
        <is>
          <t>5  крайне высокая</t>
        </is>
      </c>
      <c r="H3" s="2" t="inlineStr">
        <is>
          <t>2  умеренный</t>
        </is>
      </c>
      <c r="I3" s="2" t="str">
        <f>Расчеты!D3&amp;"  "&amp;Расчеты!L3</f>
        <v>10  высокая</v>
      </c>
      <c r="J3" s="3" t="inlineStr">
        <is>
          <t>Реализовано: сессии вынесены во внешний Redis, общий для всех экземпляров; в памяти процесса и в локальных файлах не хранится ничего; сохранение на диск включено; срок жизни сессии задается централизованно.</t>
        </is>
      </c>
      <c r="K3" s="2" t="inlineStr">
        <is>
          <t>5  крайне высокая</t>
        </is>
      </c>
      <c r="L3" s="3" t="inlineStr">
        <is>
          <t>переключение незаметно для пользователя, повторный вход не требуется</t>
        </is>
      </c>
      <c r="M3" s="3" t="inlineStr">
        <is>
          <t>1  незначительный</t>
        </is>
      </c>
      <c r="N3" s="3" t="inlineStr">
        <is>
          <t>60 тыс. руб./год</t>
        </is>
      </c>
      <c r="O3" s="3" t="inlineStr">
        <is>
          <t>65 тыс. руб./год</t>
        </is>
      </c>
      <c r="P3" s="2" t="str">
        <f>Расчеты!G3&amp;"  "&amp;Расчеты!M3</f>
        <v>5  умеренная</v>
      </c>
      <c r="Q3" s="4">
        <f>Расчеты!J3</f>
        <v>3</v>
      </c>
      <c r="R3" s="4">
        <f>Расчеты!H3*Расчеты!J3</f>
        <v>1200</v>
      </c>
      <c r="S3" s="4">
        <f>Расчеты!I3*Расчеты!J3+Расчеты!K3</f>
        <v>75</v>
      </c>
    </row>
    <row r="4">
      <c r="A4" s="2" t="n">
        <v>3</v>
      </c>
      <c r="B4" s="3" t="inlineStr">
        <is>
          <t>Расхождение данных между узлами приложения</t>
        </is>
      </c>
      <c r="C4" s="3" t="inlineStr">
        <is>
          <t>Платеж или обращение, принятые одним узлом, не видны на другом.</t>
        </is>
      </c>
      <c r="D4" s="3" t="inlineStr">
        <is>
          <t>Хранение данных в локальной базе каждого узла; отсутствие общего хранилища; кэширование состояния в процессе.</t>
        </is>
      </c>
      <c r="E4" s="3" t="inlineStr">
        <is>
          <t>Балансировщик направляет следующий запрос пользователя на узел, который не обрабатывал предыдущий.</t>
        </is>
      </c>
      <c r="F4" s="3" t="inlineStr">
        <is>
          <t>Неверный баланс в кабинете, потерянные платежи, ручные сверки и финансовые корректировки, претензии абонентов.</t>
        </is>
      </c>
      <c r="G4" s="2" t="inlineStr">
        <is>
          <t>4  высокая</t>
        </is>
      </c>
      <c r="H4" s="2" t="inlineStr">
        <is>
          <t>4  тяжелый</t>
        </is>
      </c>
      <c r="I4" s="2" t="str">
        <f>Расчеты!D4&amp;"  "&amp;Расчеты!L4</f>
        <v>16  высокая</v>
      </c>
      <c r="J4" s="3" t="inlineStr">
        <is>
          <t>Реализовано: PostgreSQL вынесен из узлов приложения в общее хранилище; узлы не держат состояния и одинаковы между собой; каждая запись помечается узлом, который ее обработал, что позволяет разбирать инциденты.</t>
        </is>
      </c>
      <c r="K4" s="2" t="inlineStr">
        <is>
          <t>1  крайне низкая</t>
        </is>
      </c>
      <c r="L4" s="3" t="inlineStr">
        <is>
          <t>расхождения не возникает, данные единые для всех узлов</t>
        </is>
      </c>
      <c r="M4" s="3" t="inlineStr">
        <is>
          <t>1  незначительный</t>
        </is>
      </c>
      <c r="N4" s="3" t="inlineStr">
        <is>
          <t>120 тыс. руб./год</t>
        </is>
      </c>
      <c r="O4" s="3" t="inlineStr">
        <is>
          <t>130 тыс. руб./год</t>
        </is>
      </c>
      <c r="P4" s="2" t="str">
        <f>Расчеты!G4&amp;"  "&amp;Расчеты!M4</f>
        <v>1  низкая</v>
      </c>
      <c r="Q4" s="4">
        <f>Расчеты!J4</f>
        <v>2</v>
      </c>
      <c r="R4" s="4">
        <f>Расчеты!H4*Расчеты!J4</f>
        <v>4000</v>
      </c>
      <c r="S4" s="4">
        <f>Расчеты!I4*Расчеты!J4+Расчеты!K4</f>
        <v>140</v>
      </c>
    </row>
    <row r="5">
      <c r="A5" s="2" t="n">
        <v>4</v>
      </c>
      <c r="B5" s="3" t="inlineStr">
        <is>
          <t>Ошибка в конфигурации балансировщика при выкатке</t>
        </is>
      </c>
      <c r="C5" s="3" t="inlineStr">
        <is>
          <t>Изменение настроек балансировки ломает прием запросов на всем портале.</t>
        </is>
      </c>
      <c r="D5" s="3" t="inlineStr">
        <is>
          <t>Правка конфигурации вручную на сервере; директива, которой нет в установленной версии Nginx; опечатка в адресе группы серверов.</t>
        </is>
      </c>
      <c r="E5" s="3" t="inlineStr">
        <is>
          <t>Конфигурация применяется без предварительной проверки синтаксиса и без возможности быстро вернуть предыдущую версию.</t>
        </is>
      </c>
      <c r="F5" s="3" t="inlineStr">
        <is>
          <t>Полная недоступность портала для всех пользователей независимо от состояния узлов приложения.</t>
        </is>
      </c>
      <c r="G5" s="2" t="inlineStr">
        <is>
          <t>4  высокая</t>
        </is>
      </c>
      <c r="H5" s="2" t="inlineStr">
        <is>
          <t>3  существенный</t>
        </is>
      </c>
      <c r="I5" s="2" t="str">
        <f>Расчеты!D5&amp;"  "&amp;Расчеты!L5</f>
        <v>12  высокая</v>
      </c>
      <c r="J5" s="3" t="inlineStr">
        <is>
          <t>Реализовано: конфигурация собирается из шаблона и раскатывается Ansible, а не правится руками; перед применением выполняется проверка синтаксиса, при ошибке изменение не применяется; предыдущая версия сохраняется автоматически; в сборке конфигурация проверяется на трех версиях Nginx, включая те, что стоят на серверах; применение идет перечитыванием конфигурации без остановки службы.</t>
        </is>
      </c>
      <c r="K5" s="2" t="inlineStr">
        <is>
          <t>1  крайне низкая</t>
        </is>
      </c>
      <c r="L5" s="3" t="inlineStr">
        <is>
          <t>ошибка отсекается до применения; возврат предыдущей версии до 2 минут</t>
        </is>
      </c>
      <c r="M5" s="3" t="inlineStr">
        <is>
          <t>1  незначительный</t>
        </is>
      </c>
      <c r="N5" s="3" t="inlineStr">
        <is>
          <t>40 тыс. руб./год</t>
        </is>
      </c>
      <c r="O5" s="3" t="inlineStr">
        <is>
          <t>60 тыс. руб./год</t>
        </is>
      </c>
      <c r="P5" s="2" t="str">
        <f>Расчеты!G5&amp;"  "&amp;Расчеты!M5</f>
        <v>1  низкая</v>
      </c>
      <c r="Q5" s="4">
        <f>Расчеты!J5</f>
        <v>2</v>
      </c>
      <c r="R5" s="4">
        <f>Расчеты!H5*Расчеты!J5</f>
        <v>1500</v>
      </c>
      <c r="S5" s="4">
        <f>Расчеты!I5*Расчеты!J5+Расчеты!K5</f>
        <v>80</v>
      </c>
    </row>
    <row r="6">
      <c r="A6" s="2" t="n">
        <v>5</v>
      </c>
      <c r="B6" s="3" t="inlineStr">
        <is>
          <t>Выкатка неработоспособного релиза</t>
        </is>
      </c>
      <c r="C6" s="3" t="inlineStr">
        <is>
          <t>Новая версия приложения ломает вход, оплату или запуск экземпляра.</t>
        </is>
      </c>
      <c r="D6" s="3" t="inlineStr">
        <is>
          <t>Непроверенный код; ошибка в конфигурации окружения; выкатка сразу на все узлы без проверки работоспособности.</t>
        </is>
      </c>
      <c r="E6" s="3" t="inlineStr">
        <is>
          <t>Нет автоматических тестов, обновление выполняется одновременно везде.</t>
        </is>
      </c>
      <c r="F6" s="3" t="inlineStr">
        <is>
          <t>Сервис недоступен или работает некорректно, требуется срочный откат.</t>
        </is>
      </c>
      <c r="G6" s="2" t="inlineStr">
        <is>
          <t>5  крайне высокая</t>
        </is>
      </c>
      <c r="H6" s="2" t="inlineStr">
        <is>
          <t>2  умеренный</t>
        </is>
      </c>
      <c r="I6" s="2" t="str">
        <f>Расчеты!D6&amp;"  "&amp;Расчеты!L6</f>
        <v>10  высокая</v>
      </c>
      <c r="J6" s="3" t="inlineStr">
        <is>
          <t>Реализовано: автоматические тесты и проверка стиля на каждое изменение; обновление по одному экземпляру с задержкой между шагами; встроенная в образ проверка работоспособности останавливает выкатку; при неудаче оркестратор откатывается на предыдущую версию сам; артефакты инфраструктуры проверяются отдельной задачей сборки.</t>
        </is>
      </c>
      <c r="K6" s="2" t="inlineStr">
        <is>
          <t>2  низкая</t>
        </is>
      </c>
      <c r="L6" s="3" t="inlineStr">
        <is>
          <t>до 5 минут на автоматический откат</t>
        </is>
      </c>
      <c r="M6" s="3" t="inlineStr">
        <is>
          <t>1  незначительный</t>
        </is>
      </c>
      <c r="N6" s="3" t="inlineStr">
        <is>
          <t>60 тыс. руб./год</t>
        </is>
      </c>
      <c r="O6" s="3" t="inlineStr">
        <is>
          <t>80 тыс. руб./год</t>
        </is>
      </c>
      <c r="P6" s="2" t="str">
        <f>Расчеты!G6&amp;"  "&amp;Расчеты!M6</f>
        <v>2  низкая</v>
      </c>
      <c r="Q6" s="4">
        <f>Расчеты!J6</f>
        <v>4</v>
      </c>
      <c r="R6" s="4">
        <f>Расчеты!H6*Расчеты!J6</f>
        <v>1500</v>
      </c>
      <c r="S6" s="4">
        <f>Расчеты!I6*Расчеты!J6+Расчеты!K6</f>
        <v>140</v>
      </c>
    </row>
    <row r="7">
      <c r="A7" s="2" t="n">
        <v>6</v>
      </c>
      <c r="B7" s="3" t="inlineStr">
        <is>
          <t>Переполнение диска на узле</t>
        </is>
      </c>
      <c r="C7" s="3" t="inlineStr">
        <is>
          <t>Свободное место на узле заканчивается, службы перестают писать и останавливаются.</t>
        </is>
      </c>
      <c r="D7" s="3" t="inlineStr">
        <is>
          <t>Неограниченный рост журналов контейнеров; временные файлы и неиспользуемые образы не удаляются.</t>
        </is>
      </c>
      <c r="E7" s="3" t="inlineStr">
        <is>
          <t>Нет ротации журналов и нет контроля свободного места.</t>
        </is>
      </c>
      <c r="F7" s="3" t="inlineStr">
        <is>
          <t>Отказ приложения и базы данных на узле, возможное повреждение файлов данных.</t>
        </is>
      </c>
      <c r="G7" s="2" t="inlineStr">
        <is>
          <t>4  высокая</t>
        </is>
      </c>
      <c r="H7" s="2" t="inlineStr">
        <is>
          <t>3  существенный</t>
        </is>
      </c>
      <c r="I7" s="2" t="str">
        <f>Расчеты!D7&amp;"  "&amp;Расчеты!L7</f>
        <v>12  высокая</v>
      </c>
      <c r="J7" s="3" t="inlineStr">
        <is>
          <t>Реализовано: ротация журналов контейнеров с ограничением размера файла и их количества, настраивается при подготовке узлов; правило оповещения срабатывает при заполнении диска более чем на 80 процентов по всем реальным файловым системам.</t>
        </is>
      </c>
      <c r="K7" s="2" t="inlineStr">
        <is>
          <t>1  крайне низкая</t>
        </is>
      </c>
      <c r="L7" s="3" t="inlineStr">
        <is>
          <t>до 20 минут на освобождение места после оповещения</t>
        </is>
      </c>
      <c r="M7" s="3" t="inlineStr">
        <is>
          <t>1  незначительный</t>
        </is>
      </c>
      <c r="N7" s="3" t="inlineStr">
        <is>
          <t>30 тыс. руб./год</t>
        </is>
      </c>
      <c r="O7" s="3" t="inlineStr">
        <is>
          <t>45 тыс. руб./год</t>
        </is>
      </c>
      <c r="P7" s="2" t="str">
        <f>Расчеты!G7&amp;"  "&amp;Расчеты!M7</f>
        <v>1  низкая</v>
      </c>
      <c r="Q7" s="4">
        <f>Расчеты!J7</f>
        <v>1.5</v>
      </c>
      <c r="R7" s="4">
        <f>Расчеты!H7*Расчеты!J7</f>
        <v>1125</v>
      </c>
      <c r="S7" s="4">
        <f>Расчеты!I7*Расчеты!J7+Расчеты!K7</f>
        <v>52.5</v>
      </c>
    </row>
    <row r="8">
      <c r="A8" s="2" t="n">
        <v>7</v>
      </c>
      <c r="B8" s="3" t="inlineStr">
        <is>
          <t>Позднее обнаружение инцидента</t>
        </is>
      </c>
      <c r="C8" s="3" t="inlineStr">
        <is>
          <t>О сбое узнают от пользователей, а не от системы мониторинга.</t>
        </is>
      </c>
      <c r="D8" s="3" t="inlineStr">
        <is>
          <t>Нет сбора метрик и правил оповещения; журналы разрознены по узлам; состояние узлов никто не наблюдает.</t>
        </is>
      </c>
      <c r="E8" s="3" t="inlineStr">
        <is>
          <t>Мониторинг не развернут либо развернут без правил оповещения.</t>
        </is>
      </c>
      <c r="F8" s="3" t="inlineStr">
        <is>
          <t>Каждый инцидент длится на несколько часов дольше, растет суммарный простой и отток абонентов.</t>
        </is>
      </c>
      <c r="G8" s="2" t="inlineStr">
        <is>
          <t>5  крайне высокая</t>
        </is>
      </c>
      <c r="H8" s="2" t="inlineStr">
        <is>
          <t>2  умеренный</t>
        </is>
      </c>
      <c r="I8" s="2" t="str">
        <f>Расчеты!D8&amp;"  "&amp;Расчеты!L8</f>
        <v>10  высокая</v>
      </c>
      <c r="J8" s="3" t="inlineStr">
        <is>
          <t>Реализовано: сбор метрик со всех узлов кластера и с самого приложения, каждая метрика помечена узлом; панели с распределением запросов, временем ответа, загрузкой процессора и памяти; шесть правил оповещения, включая падение узла, нехватку живых экземпляров и рост доли ошибок; веб-интерфейс управления кластером для быстрого просмотра журналов и потребления ресурсов.</t>
        </is>
      </c>
      <c r="K8" s="2" t="inlineStr">
        <is>
          <t>2  низкая</t>
        </is>
      </c>
      <c r="L8" s="3" t="inlineStr">
        <is>
          <t>обнаружение за 2 минуты вместо нескольких часов</t>
        </is>
      </c>
      <c r="M8" s="3" t="inlineStr">
        <is>
          <t>1  незначительный</t>
        </is>
      </c>
      <c r="N8" s="3" t="inlineStr">
        <is>
          <t>120 тыс. руб./год</t>
        </is>
      </c>
      <c r="O8" s="3" t="inlineStr">
        <is>
          <t>170 тыс. руб./год</t>
        </is>
      </c>
      <c r="P8" s="2" t="str">
        <f>Расчеты!G8&amp;"  "&amp;Расчеты!M8</f>
        <v>2  низкая</v>
      </c>
      <c r="Q8" s="4">
        <f>Расчеты!J8</f>
        <v>4</v>
      </c>
      <c r="R8" s="4">
        <f>Расчеты!H8*Расчеты!J8</f>
        <v>2000</v>
      </c>
      <c r="S8" s="4">
        <f>Расчеты!I8*Расчеты!J8+Расчеты!K8</f>
        <v>320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45" customHeight="1">
      <c r="A1" s="1" t="inlineStr">
        <is>
          <t>№</t>
        </is>
      </c>
      <c r="B1" s="1" t="inlineStr">
        <is>
          <t>Балл вероятности</t>
        </is>
      </c>
      <c r="C1" s="1" t="inlineStr">
        <is>
          <t>Балл ущерба</t>
        </is>
      </c>
      <c r="D1" s="1" t="inlineStr">
        <is>
          <t>Критичность исходная</t>
        </is>
      </c>
      <c r="E1" s="1" t="inlineStr">
        <is>
          <t>Балл вероятности целевой</t>
        </is>
      </c>
      <c r="F1" s="1" t="inlineStr">
        <is>
          <t>Балл ущерба целевого</t>
        </is>
      </c>
      <c r="G1" s="1" t="inlineStr">
        <is>
          <t>Критичность итоговая целевая</t>
        </is>
      </c>
      <c r="H1" s="1" t="inlineStr">
        <is>
          <t>Ущерб, тыс. руб.</t>
        </is>
      </c>
      <c r="I1" s="1" t="inlineStr">
        <is>
          <t>Ущерб целевой, тыс. руб.</t>
        </is>
      </c>
      <c r="J1" s="1" t="inlineStr">
        <is>
          <t>Кратность за период</t>
        </is>
      </c>
      <c r="K1" s="1" t="inlineStr">
        <is>
          <t>Цена мероприятий, тыс. руб./год</t>
        </is>
      </c>
      <c r="L1" s="1" t="inlineStr">
        <is>
          <t>Метка критичности исходной</t>
        </is>
      </c>
      <c r="M1" s="1" t="inlineStr">
        <is>
          <t>Метка критичности целевой</t>
        </is>
      </c>
    </row>
    <row r="2">
      <c r="A2" s="5" t="n">
        <v>1</v>
      </c>
      <c r="B2" s="5" t="n">
        <v>5</v>
      </c>
      <c r="C2" s="5" t="n">
        <v>2</v>
      </c>
      <c r="D2" s="5">
        <f>B2*C2</f>
        <v>10</v>
      </c>
      <c r="E2" s="5" t="n">
        <v>5</v>
      </c>
      <c r="F2" s="5" t="n">
        <v>1</v>
      </c>
      <c r="G2" s="5">
        <f>E2*F2</f>
        <v>5</v>
      </c>
      <c r="H2" s="5" t="n">
        <v>500</v>
      </c>
      <c r="I2" s="5" t="n">
        <v>5</v>
      </c>
      <c r="J2" s="5" t="n">
        <v>3</v>
      </c>
      <c r="K2" s="5" t="n">
        <v>140</v>
      </c>
      <c r="L2" s="5" t="str">
        <f>IF(D2&gt;=17,"критическая",IF(D2&gt;=10,"высокая",IF(D2&gt;=5,"умеренная","низкая")))</f>
        <v>высокая</v>
      </c>
      <c r="M2" s="5" t="str">
        <f>IF(G2&gt;=17,"критическая",IF(G2&gt;=10,"высокая",IF(G2&gt;=5,"умеренная","низкая")))</f>
        <v>умеренная</v>
      </c>
    </row>
    <row r="3">
      <c r="A3" s="5" t="n">
        <v>2</v>
      </c>
      <c r="B3" s="5" t="n">
        <v>5</v>
      </c>
      <c r="C3" s="5" t="n">
        <v>2</v>
      </c>
      <c r="D3" s="5">
        <f>B3*C3</f>
        <v>10</v>
      </c>
      <c r="E3" s="5" t="n">
        <v>5</v>
      </c>
      <c r="F3" s="5" t="n">
        <v>1</v>
      </c>
      <c r="G3" s="5">
        <f>E3*F3</f>
        <v>5</v>
      </c>
      <c r="H3" s="5" t="n">
        <v>400</v>
      </c>
      <c r="I3" s="5" t="n">
        <v>5</v>
      </c>
      <c r="J3" s="5" t="n">
        <v>3</v>
      </c>
      <c r="K3" s="5" t="n">
        <v>60</v>
      </c>
      <c r="L3" s="5" t="str">
        <f>IF(D3&gt;=17,"критическая",IF(D3&gt;=10,"высокая",IF(D3&gt;=5,"умеренная","низкая")))</f>
        <v>высокая</v>
      </c>
      <c r="M3" s="5" t="str">
        <f>IF(G3&gt;=17,"критическая",IF(G3&gt;=10,"высокая",IF(G3&gt;=5,"умеренная","низкая")))</f>
        <v>умеренная</v>
      </c>
    </row>
    <row r="4">
      <c r="A4" s="5" t="n">
        <v>3</v>
      </c>
      <c r="B4" s="5" t="n">
        <v>4</v>
      </c>
      <c r="C4" s="5" t="n">
        <v>4</v>
      </c>
      <c r="D4" s="5">
        <f>B4*C4</f>
        <v>16</v>
      </c>
      <c r="E4" s="5" t="n">
        <v>1</v>
      </c>
      <c r="F4" s="5" t="n">
        <v>1</v>
      </c>
      <c r="G4" s="5">
        <f>E4*F4</f>
        <v>1</v>
      </c>
      <c r="H4" s="5" t="n">
        <v>2000</v>
      </c>
      <c r="I4" s="5" t="n">
        <v>10</v>
      </c>
      <c r="J4" s="5" t="n">
        <v>2</v>
      </c>
      <c r="K4" s="5" t="n">
        <v>120</v>
      </c>
      <c r="L4" s="5" t="str">
        <f>IF(D4&gt;=17,"критическая",IF(D4&gt;=10,"высокая",IF(D4&gt;=5,"умеренная","низкая")))</f>
        <v>высокая</v>
      </c>
      <c r="M4" s="5" t="str">
        <f>IF(G4&gt;=17,"критическая",IF(G4&gt;=10,"высокая",IF(G4&gt;=5,"умеренная","низкая")))</f>
        <v>низкая</v>
      </c>
    </row>
    <row r="5">
      <c r="A5" s="5" t="n">
        <v>4</v>
      </c>
      <c r="B5" s="5" t="n">
        <v>4</v>
      </c>
      <c r="C5" s="5" t="n">
        <v>3</v>
      </c>
      <c r="D5" s="5">
        <f>B5*C5</f>
        <v>12</v>
      </c>
      <c r="E5" s="5" t="n">
        <v>1</v>
      </c>
      <c r="F5" s="5" t="n">
        <v>1</v>
      </c>
      <c r="G5" s="5">
        <f>E5*F5</f>
        <v>1</v>
      </c>
      <c r="H5" s="5" t="n">
        <v>750</v>
      </c>
      <c r="I5" s="5" t="n">
        <v>20</v>
      </c>
      <c r="J5" s="5" t="n">
        <v>2</v>
      </c>
      <c r="K5" s="5" t="n">
        <v>40</v>
      </c>
      <c r="L5" s="5" t="str">
        <f>IF(D5&gt;=17,"критическая",IF(D5&gt;=10,"высокая",IF(D5&gt;=5,"умеренная","низкая")))</f>
        <v>высокая</v>
      </c>
      <c r="M5" s="5" t="str">
        <f>IF(G5&gt;=17,"критическая",IF(G5&gt;=10,"высокая",IF(G5&gt;=5,"умеренная","низкая")))</f>
        <v>низкая</v>
      </c>
    </row>
    <row r="6">
      <c r="A6" s="5" t="n">
        <v>5</v>
      </c>
      <c r="B6" s="5" t="n">
        <v>5</v>
      </c>
      <c r="C6" s="5" t="n">
        <v>2</v>
      </c>
      <c r="D6" s="5">
        <f>B6*C6</f>
        <v>10</v>
      </c>
      <c r="E6" s="5" t="n">
        <v>2</v>
      </c>
      <c r="F6" s="5" t="n">
        <v>1</v>
      </c>
      <c r="G6" s="5">
        <f>E6*F6</f>
        <v>2</v>
      </c>
      <c r="H6" s="5" t="n">
        <v>375</v>
      </c>
      <c r="I6" s="5" t="n">
        <v>20</v>
      </c>
      <c r="J6" s="5" t="n">
        <v>4</v>
      </c>
      <c r="K6" s="5" t="n">
        <v>60</v>
      </c>
      <c r="L6" s="5" t="str">
        <f>IF(D6&gt;=17,"критическая",IF(D6&gt;=10,"высокая",IF(D6&gt;=5,"умеренная","низкая")))</f>
        <v>высокая</v>
      </c>
      <c r="M6" s="5" t="str">
        <f>IF(G6&gt;=17,"критическая",IF(G6&gt;=10,"высокая",IF(G6&gt;=5,"умеренная","низкая")))</f>
        <v>низкая</v>
      </c>
    </row>
    <row r="7">
      <c r="A7" s="5" t="n">
        <v>6</v>
      </c>
      <c r="B7" s="5" t="n">
        <v>4</v>
      </c>
      <c r="C7" s="5" t="n">
        <v>3</v>
      </c>
      <c r="D7" s="5">
        <f>B7*C7</f>
        <v>12</v>
      </c>
      <c r="E7" s="5" t="n">
        <v>1</v>
      </c>
      <c r="F7" s="5" t="n">
        <v>1</v>
      </c>
      <c r="G7" s="5">
        <f>E7*F7</f>
        <v>1</v>
      </c>
      <c r="H7" s="5" t="n">
        <v>750</v>
      </c>
      <c r="I7" s="5" t="n">
        <v>15</v>
      </c>
      <c r="J7" s="5" t="n">
        <v>1.5</v>
      </c>
      <c r="K7" s="5" t="n">
        <v>30</v>
      </c>
      <c r="L7" s="5" t="str">
        <f>IF(D7&gt;=17,"критическая",IF(D7&gt;=10,"высокая",IF(D7&gt;=5,"умеренная","низкая")))</f>
        <v>высокая</v>
      </c>
      <c r="M7" s="5" t="str">
        <f>IF(G7&gt;=17,"критическая",IF(G7&gt;=10,"высокая",IF(G7&gt;=5,"умеренная","низкая")))</f>
        <v>низкая</v>
      </c>
    </row>
    <row r="8">
      <c r="A8" s="5" t="n">
        <v>7</v>
      </c>
      <c r="B8" s="5" t="n">
        <v>5</v>
      </c>
      <c r="C8" s="5" t="n">
        <v>2</v>
      </c>
      <c r="D8" s="5">
        <f>B8*C8</f>
        <v>10</v>
      </c>
      <c r="E8" s="5" t="n">
        <v>2</v>
      </c>
      <c r="F8" s="5" t="n">
        <v>1</v>
      </c>
      <c r="G8" s="5">
        <f>E8*F8</f>
        <v>2</v>
      </c>
      <c r="H8" s="5" t="n">
        <v>500</v>
      </c>
      <c r="I8" s="5" t="n">
        <v>50</v>
      </c>
      <c r="J8" s="5" t="n">
        <v>4</v>
      </c>
      <c r="K8" s="5" t="n">
        <v>120</v>
      </c>
      <c r="L8" s="5" t="str">
        <f>IF(D8&gt;=17,"критическая",IF(D8&gt;=10,"высокая",IF(D8&gt;=5,"умеренная","низкая")))</f>
        <v>высокая</v>
      </c>
      <c r="M8" s="5" t="str">
        <f>IF(G8&gt;=17,"критическая",IF(G8&gt;=10,"высокая",IF(G8&gt;=5,"умеренная","низкая")))</f>
        <v>низкая</v>
      </c>
    </row>
    <row r="10">
      <c r="A10" s="6" t="inlineStr">
        <is>
          <t>Лист с расчетами. Лист1 ссылается сюда формулами, править нужно здесь.</t>
        </is>
      </c>
    </row>
    <row r="11">
      <c r="A11" s="7" t="inlineStr">
        <is>
          <t>Вероятность и ущерб оценены по пятибалльной шкале; критичность равна произведению баллов.</t>
        </is>
      </c>
    </row>
    <row r="12">
      <c r="A12" s="7" t="inlineStr">
        <is>
          <t>Шкала критичности: до 4 низкая, 5-9 умеренная, 10-16 высокая, 17 и выше критическая.</t>
        </is>
      </c>
    </row>
    <row r="13">
      <c r="A13" s="7" t="inlineStr">
        <is>
          <t>Кратность за период — ожидаемое число реализаций риска за год.</t>
        </is>
      </c>
    </row>
    <row r="14">
      <c r="A14" s="7" t="inlineStr">
        <is>
          <t>Итоговый ущерб исходный = ущерб × кратность. Итоговый ущерб целевой = ущерб целевой × кратность + цена мероприятий.</t>
        </is>
      </c>
    </row>
    <row r="15">
      <c r="A15" s="7" t="inlineStr">
        <is>
          <t>Все денежные величины указаны в тысячах рублей за год.</t>
        </is>
      </c>
    </row>
    <row r="16">
      <c r="A16" s="7" t="inlineStr">
        <is>
          <t>База расчета: простой портала стоит 250 тыс. руб. за час недоступности.</t>
        </is>
      </c>
    </row>
    <row r="17">
      <c r="A17" s="7" t="inlineStr">
        <is>
          <t>Компания учебная, все показатели являются допущениями автора.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2026-09-20T16:21:10Z</dcterms:created>
  <dcterms:modified xsi:type="dcterms:W3CDTF">2026-09-20T16:21:10Z</dcterms:modified>
</cp:coreProperties>
</file>
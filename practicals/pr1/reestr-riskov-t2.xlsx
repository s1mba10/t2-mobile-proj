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рисков" sheetId="1" state="visible" r:id="rId1"/>
    <sheet name="Методика и допущения" sheetId="2" state="visible" r:id="rId2"/>
  </sheets>
  <definedNames>
    <definedName name="_xlnm._FilterDatabase" localSheetId="0" hidden="1">'Реестр рисков'!$A$1:$T$12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₽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9" fontId="2" fillId="0" borderId="1" applyAlignment="1" pivotButton="0" quotePrefix="0" xfId="0">
      <alignment horizontal="center" vertical="top" wrapText="1"/>
    </xf>
    <xf numFmtId="164" fontId="2" fillId="0" borderId="1" applyAlignment="1" pivotButton="0" quotePrefix="0" xfId="0">
      <alignment horizontal="left" vertical="top" wrapText="1"/>
    </xf>
    <xf numFmtId="165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9" fontId="2" fillId="3" borderId="1" applyAlignment="1" pivotButton="0" quotePrefix="0" xfId="0">
      <alignment horizontal="center" vertical="top" wrapText="1"/>
    </xf>
    <xf numFmtId="164" fontId="2" fillId="3" borderId="1" applyAlignment="1" pivotButton="0" quotePrefix="0" xfId="0">
      <alignment horizontal="left" vertical="top" wrapText="1"/>
    </xf>
    <xf numFmtId="165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40" customWidth="1" min="3" max="3"/>
    <col width="42" customWidth="1" min="4" max="4"/>
    <col width="38" customWidth="1" min="5" max="5"/>
    <col width="38" customWidth="1" min="6" max="6"/>
    <col width="12" customWidth="1" min="7" max="7"/>
    <col width="14" customWidth="1" min="8" max="8"/>
    <col width="16" customWidth="1" min="9" max="9"/>
    <col width="60" customWidth="1" min="10" max="10"/>
    <col width="13" customWidth="1" min="11" max="11"/>
    <col width="26" customWidth="1" min="12" max="12"/>
    <col width="14" customWidth="1" min="13" max="13"/>
    <col width="16" customWidth="1" min="14" max="14"/>
    <col width="16" customWidth="1" min="15" max="15"/>
    <col width="17" customWidth="1" min="16" max="16"/>
    <col width="12" customWidth="1" min="17" max="17"/>
    <col width="17" customWidth="1" min="18" max="18"/>
    <col width="17" customWidth="1" min="19" max="19"/>
    <col width="16" customWidth="1" min="20" max="20"/>
  </cols>
  <sheetData>
    <row r="1" ht="46" customHeight="1">
      <c r="A1" s="1" t="inlineStr">
        <is>
          <t>№</t>
        </is>
      </c>
      <c r="B1" s="1" t="inlineStr">
        <is>
          <t>Название риска</t>
        </is>
      </c>
      <c r="C1" s="1" t="inlineStr">
        <is>
          <t>Описание риска</t>
        </is>
      </c>
      <c r="D1" s="1" t="inlineStr">
        <is>
          <t>Причина</t>
        </is>
      </c>
      <c r="E1" s="1" t="inlineStr">
        <is>
          <t>Условия реализации</t>
        </is>
      </c>
      <c r="F1" s="1" t="inlineStr">
        <is>
          <t>Последствия</t>
        </is>
      </c>
      <c r="G1" s="1" t="inlineStr">
        <is>
          <t>Вероятность</t>
        </is>
      </c>
      <c r="H1" s="1" t="inlineStr">
        <is>
          <t>Ущерб</t>
        </is>
      </c>
      <c r="I1" s="1" t="inlineStr">
        <is>
          <t>Критичность исходная</t>
        </is>
      </c>
      <c r="J1" s="1" t="inlineStr">
        <is>
          <t>Меры</t>
        </is>
      </c>
      <c r="K1" s="1" t="inlineStr">
        <is>
          <t>Вероятность целевая</t>
        </is>
      </c>
      <c r="L1" s="1" t="inlineStr">
        <is>
          <t>Целевое время устранения последствий</t>
        </is>
      </c>
      <c r="M1" s="1" t="inlineStr">
        <is>
          <t>Ущерб целевой</t>
        </is>
      </c>
      <c r="N1" s="1" t="inlineStr">
        <is>
          <t>Цена реализации мероприятий</t>
        </is>
      </c>
      <c r="O1" s="1" t="inlineStr">
        <is>
          <t>Ущерб итоговый целевой</t>
        </is>
      </c>
      <c r="P1" s="1" t="inlineStr">
        <is>
          <t>Критичность итоговая целевая</t>
        </is>
      </c>
      <c r="Q1" s="1" t="inlineStr">
        <is>
          <t>Кратность за период</t>
        </is>
      </c>
      <c r="R1" s="1" t="inlineStr">
        <is>
          <t>Итоговый ущерб исходный</t>
        </is>
      </c>
      <c r="S1" s="1" t="inlineStr">
        <is>
          <t>Итоговый ущерб целевой</t>
        </is>
      </c>
      <c r="T1" s="1" t="inlineStr">
        <is>
          <t>Проверка: Ущерб &gt; УИЦ + ЦРМ</t>
        </is>
      </c>
    </row>
    <row r="2" ht="104" customHeight="1">
      <c r="A2" s="2" t="n">
        <v>1</v>
      </c>
      <c r="B2" s="3" t="inlineStr">
        <is>
          <t>Отказ одного экземпляра веб-приложения</t>
        </is>
      </c>
      <c r="C2" s="3" t="inlineStr">
        <is>
          <t>Один из процессов приложения перестаёт отвечать на запросы балансировщика.</t>
        </is>
      </c>
      <c r="D2" s="3" t="inlineStr">
        <is>
          <t>Утечка памяти и OOM-kill; паника процесса; сбой ОС или гипервизора на ноде; исчерпание файловых дескрипторов.</t>
        </is>
      </c>
      <c r="E2" s="3" t="inlineStr">
        <is>
          <t>Приложение запущено в единственном экземпляре либо балансировщик не исключает мёртвую ноду из ротации.</t>
        </is>
      </c>
      <c r="F2" s="3" t="inlineStr">
        <is>
          <t>Часть запросов отдаёт 502/504, личный кабинет и приём платежей недоступны до ручного перезапуска.</t>
        </is>
      </c>
      <c r="G2" s="4" t="n">
        <v>0.95</v>
      </c>
      <c r="H2" s="5" t="n">
        <v>500000</v>
      </c>
      <c r="I2" s="5">
        <f>G2*H2</f>
        <v/>
      </c>
      <c r="J2" s="3" t="inlineStr">
        <is>
          <t>Два и более идентичных экземпляра за Nginx; health-check GET /api/health; max_fails=3 fail_timeout=15s; proxy_connect_timeout 2s и proxy_next_upstream для мгновенного увода трафика на живую ноду; restart_policy в оркестраторе.</t>
        </is>
      </c>
      <c r="K2" s="4" t="n">
        <v>0.95</v>
      </c>
      <c r="L2" s="3" t="inlineStr">
        <is>
          <t>RTO 2 с (переключение), RPO 0</t>
        </is>
      </c>
      <c r="M2" s="5" t="n">
        <v>5000</v>
      </c>
      <c r="N2" s="5" t="n">
        <v>140000</v>
      </c>
      <c r="O2" s="5">
        <f>M2+N2</f>
        <v/>
      </c>
      <c r="P2" s="5">
        <f>K2*M2</f>
        <v/>
      </c>
      <c r="Q2" s="6" t="n">
        <v>3</v>
      </c>
      <c r="R2" s="5">
        <f>H2*Q2</f>
        <v/>
      </c>
      <c r="S2" s="5">
        <f>M2*Q2+N2</f>
        <v/>
      </c>
      <c r="T2" s="2">
        <f>IF(H2&gt;O2,"да","НЕТ")</f>
        <v/>
      </c>
    </row>
    <row r="3" ht="104" customHeight="1">
      <c r="A3" s="7" t="n">
        <v>2</v>
      </c>
      <c r="B3" s="8" t="inlineStr">
        <is>
          <t>Потеря виртуальной машины с PostgreSQL</t>
        </is>
      </c>
      <c r="C3" s="8" t="inlineStr">
        <is>
          <t>Утрачена ВМ, на которой хранятся абоненты, тарифы, платежи и обращения.</t>
        </is>
      </c>
      <c r="D3" s="8" t="inlineStr">
        <is>
          <t>Отказ СХД; повреждение файловой системы; удаление ВМ облачным провайдером или по ошибке биллинга; выход из строя диска.</t>
        </is>
      </c>
      <c r="E3" s="8" t="inlineStr">
        <is>
          <t>База развёрнута в одном экземпляре на одной ВМ, резервные копии не создаются или не проверялись на восстановление.</t>
        </is>
      </c>
      <c r="F3" s="8" t="inlineStr">
        <is>
          <t>Полная остановка сервиса, безвозвратная потеря истории платежей, претензии абонентов и регулятора.</t>
        </is>
      </c>
      <c r="G3" s="9" t="n">
        <v>0.1</v>
      </c>
      <c r="H3" s="10" t="n">
        <v>8000000</v>
      </c>
      <c r="I3" s="10">
        <f>G3*H3</f>
        <v/>
      </c>
      <c r="J3" s="8" t="inlineStr">
        <is>
          <t>Потоковая репликация на вторую ВМ с автоматическим переключением; ежесуточные резервные копии с хранением 30 дней на отдельном хранилище; ежемесячная проверка восстановления из копии; данные на отдельном томе, а не в контейнере.</t>
        </is>
      </c>
      <c r="K3" s="9" t="n">
        <v>0.1</v>
      </c>
      <c r="L3" s="8" t="inlineStr">
        <is>
          <t>RTO 1 ч, RPO 5 мин</t>
        </is>
      </c>
      <c r="M3" s="10" t="n">
        <v>300000</v>
      </c>
      <c r="N3" s="10" t="n">
        <v>200000</v>
      </c>
      <c r="O3" s="10">
        <f>M3+N3</f>
        <v/>
      </c>
      <c r="P3" s="10">
        <f>K3*M3</f>
        <v/>
      </c>
      <c r="Q3" s="11" t="n">
        <v>0.1</v>
      </c>
      <c r="R3" s="10">
        <f>H3*Q3</f>
        <v/>
      </c>
      <c r="S3" s="10">
        <f>M3*Q3+N3</f>
        <v/>
      </c>
      <c r="T3" s="7">
        <f>IF(H3&gt;O3,"да","НЕТ")</f>
        <v/>
      </c>
    </row>
    <row r="4" ht="104" customHeight="1">
      <c r="A4" s="2" t="n">
        <v>3</v>
      </c>
      <c r="B4" s="3" t="inlineStr">
        <is>
          <t>Отказ Redis и потеря пользовательских сессий</t>
        </is>
      </c>
      <c r="C4" s="3" t="inlineStr">
        <is>
          <t>Хранилище сессий недоступно, все авторизованные пользователи разлогинены одновременно.</t>
        </is>
      </c>
      <c r="D4" s="3" t="inlineStr">
        <is>
          <t>Исчерпание памяти; перезапуск ноды; сетевой разрыв между приложением и Redis; повреждение AOF-файла.</t>
        </is>
      </c>
      <c r="E4" s="3" t="inlineStr">
        <is>
          <t>Redis развёрнут в одном экземпляре без реплики и без сохранения на диск.</t>
        </is>
      </c>
      <c r="F4" s="3" t="inlineStr">
        <is>
          <t>Массовый разлогин 1,2 млн пользователей, всплеск обращений в поддержку, кабинет недоступен.</t>
        </is>
      </c>
      <c r="G4" s="4" t="n">
        <v>0.78</v>
      </c>
      <c r="H4" s="5" t="n">
        <v>400000</v>
      </c>
      <c r="I4" s="5">
        <f>G4*H4</f>
        <v/>
      </c>
      <c r="J4" s="3" t="inlineStr">
        <is>
          <t>Включён appendonly; реплика Redis и автоматический failover через Sentinel; приложение продолжает отдавать публичные страницы при недоступном Redis; readiness-проба GET /api/ready выводит ноду из ротации.</t>
        </is>
      </c>
      <c r="K4" s="4" t="n">
        <v>0.78</v>
      </c>
      <c r="L4" s="3" t="inlineStr">
        <is>
          <t>RTO 30 с, RPO 1 с</t>
        </is>
      </c>
      <c r="M4" s="5" t="n">
        <v>30000</v>
      </c>
      <c r="N4" s="5" t="n">
        <v>90000</v>
      </c>
      <c r="O4" s="5">
        <f>M4+N4</f>
        <v/>
      </c>
      <c r="P4" s="5">
        <f>K4*M4</f>
        <v/>
      </c>
      <c r="Q4" s="6" t="n">
        <v>1.5</v>
      </c>
      <c r="R4" s="5">
        <f>H4*Q4</f>
        <v/>
      </c>
      <c r="S4" s="5">
        <f>M4*Q4+N4</f>
        <v/>
      </c>
      <c r="T4" s="2">
        <f>IF(H4&gt;O4,"да","НЕТ")</f>
        <v/>
      </c>
    </row>
    <row r="5" ht="104" customHeight="1">
      <c r="A5" s="7" t="n">
        <v>4</v>
      </c>
      <c r="B5" s="8" t="inlineStr">
        <is>
          <t>Отказ единственного балансировщика</t>
        </is>
      </c>
      <c r="C5" s="8" t="inlineStr">
        <is>
          <t>Узел с Nginx недоступен, портал не открывается целиком, хотя все backend-ноды живы.</t>
        </is>
      </c>
      <c r="D5" s="8" t="inlineStr">
        <is>
          <t>Сбой ВМ балансировщика; ошибка в конфигурации Nginx при выкатке; исчерпание worker_connections; отказ сетевого интерфейса.</t>
        </is>
      </c>
      <c r="E5" s="8" t="inlineStr">
        <is>
          <t>Балансировщик развёрнут в одном экземпляре и является единственной точкой входа.</t>
        </is>
      </c>
      <c r="F5" s="8" t="inlineStr">
        <is>
          <t>Полная недоступность портала для всех пользователей независимо от состояния приложения.</t>
        </is>
      </c>
      <c r="G5" s="9" t="n">
        <v>0.63</v>
      </c>
      <c r="H5" s="10" t="n">
        <v>750000</v>
      </c>
      <c r="I5" s="10">
        <f>G5*H5</f>
        <v/>
      </c>
      <c r="J5" s="8" t="inlineStr">
        <is>
          <t>Второй балансировщик и DNS-балансировка на два A-адреса; плавающий адрес через keepalived; проверка nginx -t в CI до применения конфигурации; конфигурация раскатывается Ansible, а не руками.</t>
        </is>
      </c>
      <c r="K5" s="9" t="n">
        <v>0.63</v>
      </c>
      <c r="L5" s="8" t="inlineStr">
        <is>
          <t>RTO 5 мин (переключение DNS/VIP)</t>
        </is>
      </c>
      <c r="M5" s="10" t="n">
        <v>40000</v>
      </c>
      <c r="N5" s="10" t="n">
        <v>150000</v>
      </c>
      <c r="O5" s="10">
        <f>M5+N5</f>
        <v/>
      </c>
      <c r="P5" s="10">
        <f>K5*M5</f>
        <v/>
      </c>
      <c r="Q5" s="11" t="n">
        <v>1</v>
      </c>
      <c r="R5" s="10">
        <f>H5*Q5</f>
        <v/>
      </c>
      <c r="S5" s="10">
        <f>M5*Q5+N5</f>
        <v/>
      </c>
      <c r="T5" s="7">
        <f>IF(H5&gt;O5,"да","НЕТ")</f>
        <v/>
      </c>
    </row>
    <row r="6" ht="104" customHeight="1">
      <c r="A6" s="2" t="n">
        <v>5</v>
      </c>
      <c r="B6" s="3" t="inlineStr">
        <is>
          <t>Истечение или отзыв TLS-сертификата</t>
        </is>
      </c>
      <c r="C6" s="3" t="inlineStr">
        <is>
          <t>Браузеры блокируют вход на портал из-за недействительного сертификата.</t>
        </is>
      </c>
      <c r="D6" s="3" t="inlineStr">
        <is>
          <t>Забыли продлить; сломалась автоматизация ACME; удостоверяющий центр отозвал сертификат; рассинхронизация времени на узле.</t>
        </is>
      </c>
      <c r="E6" s="3" t="inlineStr">
        <is>
          <t>Сертификат продлевается вручную, срок действия никем не контролируется.</t>
        </is>
      </c>
      <c r="F6" s="3" t="inlineStr">
        <is>
          <t>Пользователи видят предупреждение безопасности и уходят, мобильные приложения перестают работать с API.</t>
        </is>
      </c>
      <c r="G6" s="4" t="n">
        <v>0.39</v>
      </c>
      <c r="H6" s="5" t="n">
        <v>1000000</v>
      </c>
      <c r="I6" s="5">
        <f>G6*H6</f>
        <v/>
      </c>
      <c r="J6" s="3" t="inlineStr">
        <is>
          <t>Автоматическое продление ACME за 30 дней до истечения; алерт Prometheus по остатку срока действия через blackbox exporter; резервный сертификат от второго УЦ; сертификаты только на балансировщике, приложение TLS не обрабатывает.</t>
        </is>
      </c>
      <c r="K6" s="4" t="n">
        <v>0.05</v>
      </c>
      <c r="L6" s="3" t="inlineStr">
        <is>
          <t>RTO 15 мин</t>
        </is>
      </c>
      <c r="M6" s="5" t="n">
        <v>20000</v>
      </c>
      <c r="N6" s="5" t="n">
        <v>40000</v>
      </c>
      <c r="O6" s="5">
        <f>M6+N6</f>
        <v/>
      </c>
      <c r="P6" s="5">
        <f>K6*M6</f>
        <v/>
      </c>
      <c r="Q6" s="6" t="n">
        <v>0.5</v>
      </c>
      <c r="R6" s="5">
        <f>H6*Q6</f>
        <v/>
      </c>
      <c r="S6" s="5">
        <f>M6*Q6+N6</f>
        <v/>
      </c>
      <c r="T6" s="2">
        <f>IF(H6&gt;O6,"да","НЕТ")</f>
        <v/>
      </c>
    </row>
    <row r="7" ht="104" customHeight="1">
      <c r="A7" s="7" t="n">
        <v>6</v>
      </c>
      <c r="B7" s="8" t="inlineStr">
        <is>
          <t>DDoS-атака или всплеск трафика</t>
        </is>
      </c>
      <c r="C7" s="8" t="inlineStr">
        <is>
          <t>Входящий поток запросов многократно превышает расчётный и исчерпывает ресурсы нод.</t>
        </is>
      </c>
      <c r="D7" s="8" t="inlineStr">
        <is>
          <t>Целенаправленная атака; рекламная кампания или отключение сети конкурента; агрессивные боты и парсеры.</t>
        </is>
      </c>
      <c r="E7" s="8" t="inlineStr">
        <is>
          <t>Нет ограничения частоты запросов, нет кэширования, число реплик фиксировано.</t>
        </is>
      </c>
      <c r="F7" s="8" t="inlineStr">
        <is>
          <t>Отказ в обслуживании легитимных пользователей, потеря платежей в пиковый период.</t>
        </is>
      </c>
      <c r="G7" s="9" t="n">
        <v>0.86</v>
      </c>
      <c r="H7" s="10" t="n">
        <v>500000</v>
      </c>
      <c r="I7" s="10">
        <f>G7*H7</f>
        <v/>
      </c>
      <c r="J7" s="8" t="inlineStr">
        <is>
          <t>limit_req и limit_conn на Nginx; proxy_cache для публичных страниц; быстрое масштабирование docker service scale; защита от DDoS на стороне провайдера; отдельный upstream для API и статики.</t>
        </is>
      </c>
      <c r="K7" s="9" t="n">
        <v>0.86</v>
      </c>
      <c r="L7" s="8" t="inlineStr">
        <is>
          <t>RTO 10 мин, деградация вместо отказа</t>
        </is>
      </c>
      <c r="M7" s="10" t="n">
        <v>60000</v>
      </c>
      <c r="N7" s="10" t="n">
        <v>180000</v>
      </c>
      <c r="O7" s="10">
        <f>M7+N7</f>
        <v/>
      </c>
      <c r="P7" s="10">
        <f>K7*M7</f>
        <v/>
      </c>
      <c r="Q7" s="11" t="n">
        <v>2</v>
      </c>
      <c r="R7" s="10">
        <f>H7*Q7</f>
        <v/>
      </c>
      <c r="S7" s="10">
        <f>M7*Q7+N7</f>
        <v/>
      </c>
      <c r="T7" s="7">
        <f>IF(H7&gt;O7,"да","НЕТ")</f>
        <v/>
      </c>
    </row>
    <row r="8" ht="104" customHeight="1">
      <c r="A8" s="2" t="n">
        <v>7</v>
      </c>
      <c r="B8" s="3" t="inlineStr">
        <is>
          <t>Выкатка неработоспособного релиза</t>
        </is>
      </c>
      <c r="C8" s="3" t="inlineStr">
        <is>
          <t>Новая версия приложения ломает вход, оплату или миграцию базы данных.</t>
        </is>
      </c>
      <c r="D8" s="3" t="inlineStr">
        <is>
          <t>Непроверенный код; несовместимая миграция схемы; ошибка в конфигурации окружения; выкатка сразу на все ноды.</t>
        </is>
      </c>
      <c r="E8" s="3" t="inlineStr">
        <is>
          <t>Нет автоматических тестов, обновление выполняется одновременно на всех нодах без проверки работоспособности.</t>
        </is>
      </c>
      <c r="F8" s="3" t="inlineStr">
        <is>
          <t>Сервис недоступен или повреждены данные, требуется срочный откат.</t>
        </is>
      </c>
      <c r="G8" s="4" t="n">
        <v>0.98</v>
      </c>
      <c r="H8" s="5" t="n">
        <v>375000</v>
      </c>
      <c r="I8" s="5">
        <f>G8*H8</f>
        <v/>
      </c>
      <c r="J8" s="3" t="inlineStr">
        <is>
          <t>CI с тестами и линтером на каждый push; rolling update с parallelism 1 и delay 10s; HEALTHCHECK в образе останавливает выкатку; автоматический откат docker service update --rollback; только обратно совместимые миграции.</t>
        </is>
      </c>
      <c r="K8" s="4" t="n">
        <v>0.2</v>
      </c>
      <c r="L8" s="3" t="inlineStr">
        <is>
          <t>RTO 5 мин (автоматический откат)</t>
        </is>
      </c>
      <c r="M8" s="5" t="n">
        <v>20000</v>
      </c>
      <c r="N8" s="5" t="n">
        <v>60000</v>
      </c>
      <c r="O8" s="5">
        <f>M8+N8</f>
        <v/>
      </c>
      <c r="P8" s="5">
        <f>K8*M8</f>
        <v/>
      </c>
      <c r="Q8" s="6" t="n">
        <v>4</v>
      </c>
      <c r="R8" s="5">
        <f>H8*Q8</f>
        <v/>
      </c>
      <c r="S8" s="5">
        <f>M8*Q8+N8</f>
        <v/>
      </c>
      <c r="T8" s="2">
        <f>IF(H8&gt;O8,"да","НЕТ")</f>
        <v/>
      </c>
    </row>
    <row r="9" ht="104" customHeight="1">
      <c r="A9" s="7" t="n">
        <v>8</v>
      </c>
      <c r="B9" s="8" t="inlineStr">
        <is>
          <t>Ошибочные действия персонала</t>
        </is>
      </c>
      <c r="C9" s="8" t="inlineStr">
        <is>
          <t>Инженер удаляет стек, том с данными или таблицу на продуктивной среде.</t>
        </is>
      </c>
      <c r="D9" s="8" t="inlineStr">
        <is>
          <t>Работа под административной учётной записью; отсутствие разграничения прав; выполнение команд вручную; усталость и спешка при инциденте.</t>
        </is>
      </c>
      <c r="E9" s="8" t="inlineStr">
        <is>
          <t>Прямой доступ к продуктивным узлам, нет подтверждения опасных операций и нет проверенных резервных копий.</t>
        </is>
      </c>
      <c r="F9" s="8" t="inlineStr">
        <is>
          <t>Потеря данных и длительный простой, восстановление вручную.</t>
        </is>
      </c>
      <c r="G9" s="9" t="n">
        <v>0.63</v>
      </c>
      <c r="H9" s="10" t="n">
        <v>2000000</v>
      </c>
      <c r="I9" s="10">
        <f>G9*H9</f>
        <v/>
      </c>
      <c r="J9" s="8" t="inlineStr">
        <is>
          <t>Роли и ограниченные учётные записи в Portainer вместо общего root; изменения через Ansible и файлы стека, а не руками; резервные копии с проверкой восстановления; журналирование действий администраторов.</t>
        </is>
      </c>
      <c r="K9" s="9" t="n">
        <v>0.25</v>
      </c>
      <c r="L9" s="8" t="inlineStr">
        <is>
          <t>RTO 1 ч, RPO 5 мин</t>
        </is>
      </c>
      <c r="M9" s="10" t="n">
        <v>250000</v>
      </c>
      <c r="N9" s="10" t="n">
        <v>70000</v>
      </c>
      <c r="O9" s="10">
        <f>M9+N9</f>
        <v/>
      </c>
      <c r="P9" s="10">
        <f>K9*M9</f>
        <v/>
      </c>
      <c r="Q9" s="11" t="n">
        <v>1</v>
      </c>
      <c r="R9" s="10">
        <f>H9*Q9</f>
        <v/>
      </c>
      <c r="S9" s="10">
        <f>M9*Q9+N9</f>
        <v/>
      </c>
      <c r="T9" s="7">
        <f>IF(H9&gt;O9,"да","НЕТ")</f>
        <v/>
      </c>
    </row>
    <row r="10" ht="104" customHeight="1">
      <c r="A10" s="2" t="n">
        <v>9</v>
      </c>
      <c r="B10" s="3" t="inlineStr">
        <is>
          <t>Переполнение диска на узле</t>
        </is>
      </c>
      <c r="C10" s="3" t="inlineStr">
        <is>
          <t>Свободное место на ноде заканчивается, сервисы перестают писать и падают.</t>
        </is>
      </c>
      <c r="D10" s="3" t="inlineStr">
        <is>
          <t>Неограниченный рост журналов контейнеров; резервные копии складываются на тот же диск; временные файлы не удаляются.</t>
        </is>
      </c>
      <c r="E10" s="3" t="inlineStr">
        <is>
          <t>Нет ротации журналов и нет контроля свободного места.</t>
        </is>
      </c>
      <c r="F10" s="3" t="inlineStr">
        <is>
          <t>Отказ приложения и базы данных на узле, возможное повреждение файлов данных.</t>
        </is>
      </c>
      <c r="G10" s="4" t="n">
        <v>0.78</v>
      </c>
      <c r="H10" s="5" t="n">
        <v>750000</v>
      </c>
      <c r="I10" s="5">
        <f>G10*H10</f>
        <v/>
      </c>
      <c r="J10" s="3" t="inlineStr">
        <is>
          <t>Ротация журналов Docker через max-size и max-file; алерт Prometheus при заполнении диска на 80%; резервные копии на отдельное хранилище; регулярная очистка неиспользуемых образов.</t>
        </is>
      </c>
      <c r="K10" s="4" t="n">
        <v>0.1</v>
      </c>
      <c r="L10" s="3" t="inlineStr">
        <is>
          <t>RTO 20 мин</t>
        </is>
      </c>
      <c r="M10" s="5" t="n">
        <v>15000</v>
      </c>
      <c r="N10" s="5" t="n">
        <v>30000</v>
      </c>
      <c r="O10" s="5">
        <f>M10+N10</f>
        <v/>
      </c>
      <c r="P10" s="5">
        <f>K10*M10</f>
        <v/>
      </c>
      <c r="Q10" s="6" t="n">
        <v>1.5</v>
      </c>
      <c r="R10" s="5">
        <f>H10*Q10</f>
        <v/>
      </c>
      <c r="S10" s="5">
        <f>M10*Q10+N10</f>
        <v/>
      </c>
      <c r="T10" s="2">
        <f>IF(H10&gt;O10,"да","НЕТ")</f>
        <v/>
      </c>
    </row>
    <row r="11" ht="104" customHeight="1">
      <c r="A11" s="7" t="n">
        <v>10</v>
      </c>
      <c r="B11" s="8" t="inlineStr">
        <is>
          <t>Позднее обнаружение инцидента</t>
        </is>
      </c>
      <c r="C11" s="8" t="inlineStr">
        <is>
          <t>О сбое узнают от пользователей и из социальных сетей, а не от системы мониторинга.</t>
        </is>
      </c>
      <c r="D11" s="8" t="inlineStr">
        <is>
          <t>Нет сбора метрик и алертов; журналы разрознены по узлам; никто не дежурит вне рабочего дня.</t>
        </is>
      </c>
      <c r="E11" s="8" t="inlineStr">
        <is>
          <t>Мониторинг не развёрнут либо развёрнут без правил оповещения.</t>
        </is>
      </c>
      <c r="F11" s="8" t="inlineStr">
        <is>
          <t>Каждый инцидент длится на несколько часов дольше, растёт суммарный простой и отток абонентов.</t>
        </is>
      </c>
      <c r="G11" s="9" t="n">
        <v>0.98</v>
      </c>
      <c r="H11" s="10" t="n">
        <v>500000</v>
      </c>
      <c r="I11" s="10">
        <f>G11*H11</f>
        <v/>
      </c>
      <c r="J11" s="8" t="inlineStr">
        <is>
          <t>Prometheus с node-exporter на всех узлах и метриками приложения; дашборды Grafana; правила алертов с оповещением в мессенджер; Portainer для быстрого просмотра журналов и потребления ресурсов.</t>
        </is>
      </c>
      <c r="K11" s="9" t="n">
        <v>0.2</v>
      </c>
      <c r="L11" s="8" t="inlineStr">
        <is>
          <t>Обнаружение за 2 мин вместо 2 ч</t>
        </is>
      </c>
      <c r="M11" s="10" t="n">
        <v>50000</v>
      </c>
      <c r="N11" s="10" t="n">
        <v>120000</v>
      </c>
      <c r="O11" s="10">
        <f>M11+N11</f>
        <v/>
      </c>
      <c r="P11" s="10">
        <f>K11*M11</f>
        <v/>
      </c>
      <c r="Q11" s="11" t="n">
        <v>4</v>
      </c>
      <c r="R11" s="10">
        <f>H11*Q11</f>
        <v/>
      </c>
      <c r="S11" s="10">
        <f>M11*Q11+N11</f>
        <v/>
      </c>
      <c r="T11" s="7">
        <f>IF(H11&gt;O11,"да","НЕТ")</f>
        <v/>
      </c>
    </row>
    <row r="12" ht="104" customHeight="1">
      <c r="A12" s="2" t="n">
        <v>11</v>
      </c>
      <c r="B12" s="3" t="inlineStr">
        <is>
          <t>Компрометация учётных данных и утечка персональных данных</t>
        </is>
      </c>
      <c r="C12" s="3" t="inlineStr">
        <is>
          <t>Злоумышленник получает доступ к базе абонентов через утёкшие секреты.</t>
        </is>
      </c>
      <c r="D12" s="3" t="inlineStr">
        <is>
          <t>Пароли и ключи в репозитории или в переменных окружения; отсутствие двухфакторной аутентификации; переиспользование паролей; уязвимость в базовом образе.</t>
        </is>
      </c>
      <c r="E12" s="3" t="inlineStr">
        <is>
          <t>Секреты хранятся в открытом виде, доступ к панели управления не ограничен по сети.</t>
        </is>
      </c>
      <c r="F12" s="3" t="inlineStr">
        <is>
          <t>Утечка персональных данных 1,2 млн пользователей, оборотный штраф, потеря доверия и отток абонентов.</t>
        </is>
      </c>
      <c r="G12" s="4" t="n">
        <v>0.26</v>
      </c>
      <c r="H12" s="5" t="n">
        <v>5000000</v>
      </c>
      <c r="I12" s="5">
        <f>G12*H12</f>
        <v/>
      </c>
      <c r="J12" s="3" t="inlineStr">
        <is>
          <t>Docker secrets вместо переменных окружения; .env в .gitignore и сканирование секретов в CI; двухфакторная аутентификация для администраторов; регулярное обновление базовых образов; доступ к Portainer и Grafana только из внутренней сети.</t>
        </is>
      </c>
      <c r="K12" s="4" t="n">
        <v>0.05</v>
      </c>
      <c r="L12" s="3" t="inlineStr">
        <is>
          <t>RTO 4 ч на ротацию ключей и расследование</t>
        </is>
      </c>
      <c r="M12" s="5" t="n">
        <v>300000</v>
      </c>
      <c r="N12" s="5" t="n">
        <v>80000</v>
      </c>
      <c r="O12" s="5">
        <f>M12+N12</f>
        <v/>
      </c>
      <c r="P12" s="5">
        <f>K12*M12</f>
        <v/>
      </c>
      <c r="Q12" s="6" t="n">
        <v>0.3</v>
      </c>
      <c r="R12" s="5">
        <f>H12*Q12</f>
        <v/>
      </c>
      <c r="S12" s="5">
        <f>M12*Q12+N12</f>
        <v/>
      </c>
      <c r="T12" s="2">
        <f>IF(H12&gt;O12,"да","НЕТ")</f>
        <v/>
      </c>
    </row>
    <row r="13">
      <c r="A13" s="12" t="inlineStr"/>
      <c r="B13" s="13" t="inlineStr">
        <is>
          <t>ИТОГО за год</t>
        </is>
      </c>
      <c r="C13" s="13" t="n"/>
      <c r="D13" s="13" t="n"/>
      <c r="E13" s="13" t="n"/>
      <c r="F13" s="13" t="n"/>
      <c r="G13" s="12" t="n"/>
      <c r="H13" s="13" t="n"/>
      <c r="I13" s="14">
        <f>SUM(I2:I12)</f>
        <v/>
      </c>
      <c r="J13" s="13" t="n"/>
      <c r="K13" s="12" t="n"/>
      <c r="L13" s="13" t="n"/>
      <c r="M13" s="13" t="n"/>
      <c r="N13" s="13" t="n"/>
      <c r="O13" s="14">
        <f>SUM(O2:O12)</f>
        <v/>
      </c>
      <c r="P13" s="14">
        <f>SUM(P2:P12)</f>
        <v/>
      </c>
      <c r="Q13" s="12" t="n"/>
      <c r="R13" s="14">
        <f>SUM(R2:R12)</f>
        <v/>
      </c>
      <c r="S13" s="14">
        <f>SUM(S2:S12)</f>
        <v/>
      </c>
      <c r="T13" s="12" t="n"/>
    </row>
  </sheetData>
  <autoFilter ref="A1:T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8" customWidth="1" min="1" max="1"/>
    <col width="96" customWidth="1" min="2" max="2"/>
  </cols>
  <sheetData>
    <row r="1">
      <c r="A1" s="15" t="inlineStr">
        <is>
          <t>ВНИМАНИЕ</t>
        </is>
      </c>
      <c r="B1" s="16" t="inlineStr">
        <is>
          <t>Компания учебная. За основу взят публично известный профиль оператора связи, все финансовые показатели, вероятности и суммы ущерба являются допущениями автора и не отражают данных реальной организации.</t>
        </is>
      </c>
    </row>
    <row r="2">
      <c r="A2" s="15" t="inlineStr">
        <is>
          <t>Компания</t>
        </is>
      </c>
      <c r="B2" s="16" t="inlineStr">
        <is>
          <t>Учебный оператор мобильной связи t2, цифровой портал самообслуживания t2-mobile.</t>
        </is>
      </c>
    </row>
    <row r="3">
      <c r="A3" s="15" t="inlineStr">
        <is>
          <t>Род деятельности</t>
        </is>
      </c>
      <c r="B3" s="16" t="inlineStr">
        <is>
          <t>Услуги мобильной связи и мобильного интернета; портал и личный кабинет абонента: тарифы, карта покрытия, баланс, пополнение, обращения в поддержку.</t>
        </is>
      </c>
    </row>
    <row r="4">
      <c r="A4" s="15" t="inlineStr">
        <is>
          <t>Пользователи</t>
        </is>
      </c>
      <c r="B4" s="16" t="inlineStr">
        <is>
          <t>47 млн абонентов оператора; 1,2 млн активных пользователей портала в месяц; пик 3 500 одновременных сессий.</t>
        </is>
      </c>
    </row>
    <row r="5">
      <c r="A5" s="15" t="inlineStr">
        <is>
          <t>Финансовая база</t>
        </is>
      </c>
      <c r="B5" s="16" t="inlineStr">
        <is>
          <t>450 тыс. пополнений в месяц, средний чек 400 ₽, оборот через портал около 180 млн ₽ в месяц.</t>
        </is>
      </c>
    </row>
    <row r="6">
      <c r="A6" s="15" t="inlineStr">
        <is>
          <t>Стоимость простоя</t>
        </is>
      </c>
      <c r="B6" s="16" t="inlineStr">
        <is>
          <t>180 млн ₽ / 720 ч = 250 000 ₽ прямых потерь оборота за час недоступности портала.</t>
        </is>
      </c>
    </row>
    <row r="7">
      <c r="A7" s="15" t="inlineStr">
        <is>
          <t>Инфраструктура</t>
        </is>
      </c>
      <c r="B7" s="16" t="inlineStr">
        <is>
          <t>Три виртуальные машины: балансировщик Nginx и два узла приложения. PostgreSQL и Redis вынесены в общее хранилище. Docker Swarm, Portainer, Prometheus и Grafana.</t>
        </is>
      </c>
    </row>
    <row r="8">
      <c r="A8" s="15" t="inlineStr">
        <is>
          <t>Команда</t>
        </is>
      </c>
      <c r="B8" s="16" t="inlineStr">
        <is>
          <t>Два инженера эксплуатации, дежурства вне рабочего времени не организованы.</t>
        </is>
      </c>
    </row>
    <row r="9">
      <c r="A9" s="15" t="inlineStr">
        <is>
          <t>Целевой уровень услуги</t>
        </is>
      </c>
      <c r="B9" s="16" t="inlineStr">
        <is>
          <t>SLA 99,5 %: допустимый простой 3,6 часа в месяц.</t>
        </is>
      </c>
    </row>
    <row r="10">
      <c r="A10" s="16" t="inlineStr"/>
      <c r="B10" s="16" t="inlineStr"/>
    </row>
    <row r="11">
      <c r="A11" s="15" t="inlineStr">
        <is>
          <t>Вероятность</t>
        </is>
      </c>
      <c r="B11" s="16" t="inlineStr">
        <is>
          <t>Годовая вероятность реализации риска хотя бы один раз, доля от 0 до 1. Ведущей величиной принята кратность: вероятность вычисляется из неё по формуле P = 1 - exp(-k) для пуассоновского потока событий. Так два столбца не противоречат друг другу: риск с четырьмя реализациями в год не может иметь вероятность 0,7.</t>
        </is>
      </c>
    </row>
    <row r="12">
      <c r="A12" s="15" t="inlineStr">
        <is>
          <t>Ущерб</t>
        </is>
      </c>
      <c r="B12" s="16" t="inlineStr">
        <is>
          <t>Потери от одной реализации риска в рублях: простой × стоимость часа плюс прямые потери (штрафы, репутация, работа поддержки).</t>
        </is>
      </c>
    </row>
    <row r="13">
      <c r="A13" s="15" t="inlineStr">
        <is>
          <t>Критичность исходная</t>
        </is>
      </c>
      <c r="B13" s="16" t="inlineStr">
        <is>
          <t>Вероятность × Ущерб. Ожидаемые потери от одной реализации без мер.</t>
        </is>
      </c>
    </row>
    <row r="14">
      <c r="A14" s="15" t="inlineStr">
        <is>
          <t>Ущерб целевой (УЦ)</t>
        </is>
      </c>
      <c r="B14" s="16" t="inlineStr">
        <is>
          <t>Потери от одной реализации после внедрения мер.</t>
        </is>
      </c>
    </row>
    <row r="15">
      <c r="A15" s="15" t="inlineStr">
        <is>
          <t>Цена реализации мероприятий (ЦРМ)</t>
        </is>
      </c>
      <c r="B15" s="16" t="inlineStr">
        <is>
          <t>Стоимость владения мерой за год: оборудование, лицензии, работа инженеров.</t>
        </is>
      </c>
    </row>
    <row r="16">
      <c r="A16" s="15" t="inlineStr">
        <is>
          <t>Ущерб итоговый целевой</t>
        </is>
      </c>
      <c r="B16" s="16" t="inlineStr">
        <is>
          <t>УЦ + ЦРМ.</t>
        </is>
      </c>
    </row>
    <row r="17">
      <c r="A17" s="15" t="inlineStr">
        <is>
          <t>Критичность итоговая целевая</t>
        </is>
      </c>
      <c r="B17" s="16" t="inlineStr">
        <is>
          <t>Вероятность целевая × УЦ. По этому столбцу отбираются самые актуальные риски с учётом мер.</t>
        </is>
      </c>
    </row>
    <row r="18">
      <c r="A18" s="15" t="inlineStr">
        <is>
          <t>Кратность за период</t>
        </is>
      </c>
      <c r="B18" s="16" t="inlineStr">
        <is>
          <t>Ожидаемое число реализаций риска за год.</t>
        </is>
      </c>
    </row>
    <row r="19">
      <c r="A19" s="15" t="inlineStr">
        <is>
          <t>Итоговый ущерб исходный</t>
        </is>
      </c>
      <c r="B19" s="16" t="inlineStr">
        <is>
          <t>Ущерб × Кратность.</t>
        </is>
      </c>
    </row>
    <row r="20">
      <c r="A20" s="15" t="inlineStr">
        <is>
          <t>Итоговый ущерб целевой</t>
        </is>
      </c>
      <c r="B20" s="16" t="inlineStr">
        <is>
          <t>УЦ × Кратность + ЦРМ.</t>
        </is>
      </c>
    </row>
    <row r="21">
      <c r="A21" s="15" t="inlineStr">
        <is>
          <t>Проверка</t>
        </is>
      </c>
      <c r="B21" s="16" t="inlineStr">
        <is>
          <t>Ущерб должен быть больше суммы УЦ и ЦРМ, иначе мероприятие не окупается. Столбец T проверяет это правило для каждой строки.</t>
        </is>
      </c>
    </row>
    <row r="22">
      <c r="A22" s="16" t="inlineStr"/>
      <c r="B22" s="16" t="inlineStr"/>
    </row>
    <row r="23">
      <c r="A23" s="15" t="inlineStr">
        <is>
          <t>Важное допущение</t>
        </is>
      </c>
      <c r="B23" s="16" t="inlineStr">
        <is>
          <t>Исходный ущерб оценивается так, как если бы мер по снижению не существовало вовсе, даже для тех мер, которые уже внедрены в работах №2–№6. Иначе обоснование затрат теряет смысл.</t>
        </is>
      </c>
    </row>
    <row r="24">
      <c r="A24" s="15" t="inlineStr">
        <is>
          <t>Связь с практическими работами</t>
        </is>
      </c>
      <c r="B24" s="16" t="inlineStr">
        <is>
          <t>Меры строк 1, 4, 6 реализованы в работах №2 и №3 (балансировка Nginx). Строки 1, 7 — работа №4 (Docker Swarm, rolling update). Строка 8 — работа №5 (Portainer, роли и журналы). Строки 9, 10 — работа №6 (Prometheus и Grafana).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2026-09-20T15:14:32Z</dcterms:created>
  <dcterms:modified xsi:type="dcterms:W3CDTF">2026-09-20T15:14:32Z</dcterms:modified>
</cp:coreProperties>
</file>